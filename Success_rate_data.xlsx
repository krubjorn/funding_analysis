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cenv1088_ox_ac_uk/Documents/Box Oxford/Partnership Internship/Research Councils and application processes/"/>
    </mc:Choice>
  </mc:AlternateContent>
  <xr:revisionPtr revIDLastSave="4" documentId="14_{66878FE0-2EC4-8640-831F-39196896297E}" xr6:coauthVersionLast="47" xr6:coauthVersionMax="47" xr10:uidLastSave="{7321CFD8-CC97-A04D-871F-BE874940479B}"/>
  <bookViews>
    <workbookView xWindow="0" yWindow="760" windowWidth="27580" windowHeight="17320" xr2:uid="{00000000-000D-0000-FFFF-FFFF00000000}"/>
  </bookViews>
  <sheets>
    <sheet name="Success rate 2020-21 to present" sheetId="1" r:id="rId1"/>
    <sheet name="Sheet1" sheetId="3" r:id="rId2"/>
    <sheet name="Summary" sheetId="2" r:id="rId3"/>
  </sheets>
  <definedNames>
    <definedName name="_xlnm._FilterDatabase" localSheetId="0" hidden="1">'Success rate 2020-21 to present'!$E$1:$E$611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" l="1"/>
  <c r="C40" i="2"/>
  <c r="R10" i="2"/>
  <c r="Q10" i="2"/>
  <c r="P10" i="2"/>
  <c r="O10" i="2"/>
  <c r="N10" i="2"/>
  <c r="M10" i="2"/>
  <c r="R9" i="2"/>
  <c r="Q9" i="2"/>
  <c r="P9" i="2"/>
  <c r="O9" i="2"/>
  <c r="S9" i="2" s="1"/>
  <c r="N9" i="2"/>
  <c r="M9" i="2"/>
  <c r="R8" i="2"/>
  <c r="Q8" i="2"/>
  <c r="P8" i="2"/>
  <c r="O8" i="2"/>
  <c r="N8" i="2"/>
  <c r="M8" i="2"/>
  <c r="S8" i="2" s="1"/>
  <c r="R7" i="2"/>
  <c r="Q7" i="2"/>
  <c r="S7" i="2" s="1"/>
  <c r="P7" i="2"/>
  <c r="O7" i="2"/>
  <c r="N7" i="2"/>
  <c r="M7" i="2"/>
  <c r="R6" i="2"/>
  <c r="Q6" i="2"/>
  <c r="S6" i="2" s="1"/>
  <c r="P6" i="2"/>
  <c r="O6" i="2"/>
  <c r="N6" i="2"/>
  <c r="M6" i="2"/>
  <c r="R5" i="2"/>
  <c r="T5" i="2" s="1"/>
  <c r="Q5" i="2"/>
  <c r="S5" i="2" s="1"/>
  <c r="P5" i="2"/>
  <c r="O5" i="2"/>
  <c r="N5" i="2"/>
  <c r="M5" i="2"/>
  <c r="T7" i="2"/>
  <c r="S10" i="2"/>
  <c r="L10" i="2"/>
  <c r="K10" i="2"/>
  <c r="L9" i="2"/>
  <c r="K9" i="2"/>
  <c r="L8" i="2"/>
  <c r="K8" i="2"/>
  <c r="L7" i="2"/>
  <c r="K7" i="2"/>
  <c r="L6" i="2"/>
  <c r="K6" i="2"/>
  <c r="L5" i="2"/>
  <c r="K5" i="2"/>
  <c r="S11" i="2" l="1"/>
  <c r="T8" i="2"/>
  <c r="T10" i="2"/>
  <c r="T9" i="2"/>
  <c r="T6" i="2"/>
  <c r="T11" i="2" s="1"/>
</calcChain>
</file>

<file path=xl/sharedStrings.xml><?xml version="1.0" encoding="utf-8"?>
<sst xmlns="http://schemas.openxmlformats.org/spreadsheetml/2006/main" count="7851" uniqueCount="1591">
  <si>
    <t>PI/Co-I</t>
  </si>
  <si>
    <t>Dept</t>
  </si>
  <si>
    <t>Project Ref</t>
  </si>
  <si>
    <t>Short Title</t>
  </si>
  <si>
    <t>Funder</t>
  </si>
  <si>
    <t>Lead Department?</t>
  </si>
  <si>
    <t>funder_code</t>
  </si>
  <si>
    <t>Financial Year</t>
  </si>
  <si>
    <t>Scheme Name</t>
  </si>
  <si>
    <t>Scheme Type</t>
  </si>
  <si>
    <t>cost_type_description</t>
  </si>
  <si>
    <t>Fund Deci Status Desc</t>
  </si>
  <si>
    <t>Amount Awarded</t>
  </si>
  <si>
    <t>Approved</t>
  </si>
  <si>
    <t>Approved *</t>
  </si>
  <si>
    <t>Automatically Unsuccessful</t>
  </si>
  <si>
    <t>Decision Pending *</t>
  </si>
  <si>
    <t>Success Rate %</t>
  </si>
  <si>
    <t>Unsuccessful</t>
  </si>
  <si>
    <t>Unsuccessful *</t>
  </si>
  <si>
    <t>SCHWANEN, TIM Prof</t>
  </si>
  <si>
    <t>AC</t>
  </si>
  <si>
    <t>2002AC014/GW1</t>
  </si>
  <si>
    <t>ERA-NET</t>
  </si>
  <si>
    <t>Economic &amp; Social Research Council</t>
  </si>
  <si>
    <t>Lead dept costings</t>
  </si>
  <si>
    <t>ESRC</t>
  </si>
  <si>
    <t>FY 2021</t>
  </si>
  <si>
    <t>Generic</t>
  </si>
  <si>
    <t>Standard</t>
  </si>
  <si>
    <t>Re-cost</t>
  </si>
  <si>
    <t>Approved by funder</t>
  </si>
  <si>
    <t>MALHI, YADVINDER Prof</t>
  </si>
  <si>
    <t>2007AC002/GW1</t>
  </si>
  <si>
    <t>El Nino</t>
  </si>
  <si>
    <t>Natural Environment Research Council</t>
  </si>
  <si>
    <t>NERC</t>
  </si>
  <si>
    <t>XXStandard Grant Research Grant v2</t>
  </si>
  <si>
    <t>Rejected by funder</t>
  </si>
  <si>
    <t>CHARLES, KATRINA Prof</t>
  </si>
  <si>
    <t>2008AC001/GW1</t>
  </si>
  <si>
    <t>WASHforAll</t>
  </si>
  <si>
    <t>European Commission</t>
  </si>
  <si>
    <t>EC</t>
  </si>
  <si>
    <t>XXH2020 Marie Curie European Fellowship(WP2018-202</t>
  </si>
  <si>
    <t>Fellowship</t>
  </si>
  <si>
    <t>Application</t>
  </si>
  <si>
    <t>LORA-WAINWRIGHT, ANNA Prof</t>
  </si>
  <si>
    <t>2008AC002/GW1</t>
  </si>
  <si>
    <t>UrbanEG</t>
  </si>
  <si>
    <t>H2020 Marie Curie Global Fellowship v3</t>
  </si>
  <si>
    <t>SLATER, LOUISE Prof</t>
  </si>
  <si>
    <t>2008AC003/GW1</t>
  </si>
  <si>
    <t>FloodUncertainty</t>
  </si>
  <si>
    <t>THOMAS, DAVID Prof</t>
  </si>
  <si>
    <t>2008AP003/DR3</t>
  </si>
  <si>
    <t>Energy Catalyst Round 8</t>
  </si>
  <si>
    <t>Innovate UK</t>
  </si>
  <si>
    <t>Collaborating dept costings</t>
  </si>
  <si>
    <t>TSB</t>
  </si>
  <si>
    <t>Collaborative R&amp;D Project</t>
  </si>
  <si>
    <t>AHEARN, ARIELL Dr</t>
  </si>
  <si>
    <t>2009AC008/GW1</t>
  </si>
  <si>
    <t>Gobi</t>
  </si>
  <si>
    <t>British Academy</t>
  </si>
  <si>
    <t>BRITAC</t>
  </si>
  <si>
    <t>Generic (v2)</t>
  </si>
  <si>
    <t>MACIAS FAURIA-LEAVER, MARC Prof</t>
  </si>
  <si>
    <t>2010AC001/GW1</t>
  </si>
  <si>
    <t>Megafauna</t>
  </si>
  <si>
    <t>OLIVERAS-MENOR, IMMACULADA Dr</t>
  </si>
  <si>
    <t>2010AC002/GW1</t>
  </si>
  <si>
    <t>Neotropical biomes</t>
  </si>
  <si>
    <t>2010AC004/GW1</t>
  </si>
  <si>
    <t>Wytham Woods</t>
  </si>
  <si>
    <t>Generic v2</t>
  </si>
  <si>
    <t>2010AC005/GW1</t>
  </si>
  <si>
    <t>Amazon at risk</t>
  </si>
  <si>
    <t>XXLarge Grant (Outline) v2</t>
  </si>
  <si>
    <t>KRISHNAN, SNEHA Dr</t>
  </si>
  <si>
    <t>2010AC007/GW1</t>
  </si>
  <si>
    <t>Errant girl</t>
  </si>
  <si>
    <t>BA Wolfson Fellowship</t>
  </si>
  <si>
    <t>HUGHES-LEAVER, JOCELYNE Dr</t>
  </si>
  <si>
    <t>2010AT013/TW1</t>
  </si>
  <si>
    <t>Disentangling the triggers</t>
  </si>
  <si>
    <t>Wessex Water Services Ltd</t>
  </si>
  <si>
    <t>WWS</t>
  </si>
  <si>
    <t>Costing template for business funders (standard)</t>
  </si>
  <si>
    <t>2011AC003/GW1</t>
  </si>
  <si>
    <t>Treescapes</t>
  </si>
  <si>
    <t>HART, NEIL Dr</t>
  </si>
  <si>
    <t>2011AC006/GW1</t>
  </si>
  <si>
    <t>First Rains</t>
  </si>
  <si>
    <t>UK Research and Innovation (UKRI)</t>
  </si>
  <si>
    <t>RCUK</t>
  </si>
  <si>
    <t>DADSON, SIMON Prof</t>
  </si>
  <si>
    <t>2011AC007/GW1</t>
  </si>
  <si>
    <t>Searle, Adam</t>
  </si>
  <si>
    <t>2101AC004/GW1</t>
  </si>
  <si>
    <t>Synthetic Biogeopraphies</t>
  </si>
  <si>
    <t>Leverhulme Trust</t>
  </si>
  <si>
    <t>LT</t>
  </si>
  <si>
    <t>Generic (v3)</t>
  </si>
  <si>
    <t>PALMER, ALEXANDRA Dr</t>
  </si>
  <si>
    <t>2101AC005/GW1</t>
  </si>
  <si>
    <t>Ethics in the zoo</t>
  </si>
  <si>
    <t>Postdoctoral Fellowship Grant v3</t>
  </si>
  <si>
    <t>2101AC006/GW1</t>
  </si>
  <si>
    <t>Species persistence</t>
  </si>
  <si>
    <t>Australian Research Council</t>
  </si>
  <si>
    <t>AUSRC</t>
  </si>
  <si>
    <t>VILES, HEATHER Prof</t>
  </si>
  <si>
    <t>2101AC010/GW1</t>
  </si>
  <si>
    <t>AHRC</t>
  </si>
  <si>
    <t>Arts and Humanities Research Council</t>
  </si>
  <si>
    <t>2102AC007/GW1</t>
  </si>
  <si>
    <t>Yamal</t>
  </si>
  <si>
    <t>National Science Foundation</t>
  </si>
  <si>
    <t>NATSCI</t>
  </si>
  <si>
    <t>KLINKE, IAN Dr</t>
  </si>
  <si>
    <t>2102AC011/GW1</t>
  </si>
  <si>
    <t>Beyond deterrence</t>
  </si>
  <si>
    <t>Independent Social Research Foundation</t>
  </si>
  <si>
    <t>ISRF</t>
  </si>
  <si>
    <t>ISRF Independent Scholar Research Fellowship</t>
  </si>
  <si>
    <t>ALLEN, MYLES Prof</t>
  </si>
  <si>
    <t>2104AC002/GW1</t>
  </si>
  <si>
    <t>BEIS</t>
  </si>
  <si>
    <t>Department for Business, Energy and Industrial Strategy</t>
  </si>
  <si>
    <t>2104AC003/GW1</t>
  </si>
  <si>
    <t>Sustainable aquaculture</t>
  </si>
  <si>
    <t>Wellcome Trust</t>
  </si>
  <si>
    <t>WT</t>
  </si>
  <si>
    <t>Unknown</t>
  </si>
  <si>
    <t>Ippolito, Angelo</t>
  </si>
  <si>
    <t>2104AC004/GW1</t>
  </si>
  <si>
    <t>UNEP</t>
  </si>
  <si>
    <t>2104AC005/GW1</t>
  </si>
  <si>
    <t>Climate change</t>
  </si>
  <si>
    <t>2104AC007/GW1</t>
  </si>
  <si>
    <t>JSP</t>
  </si>
  <si>
    <t>2104CR006/LB13</t>
  </si>
  <si>
    <t>Hospital Water safety</t>
  </si>
  <si>
    <t>National Institute for Health Research</t>
  </si>
  <si>
    <t>NIHR</t>
  </si>
  <si>
    <t>BAILEY, RICHARD Prof</t>
  </si>
  <si>
    <t>2105AC001/NS4</t>
  </si>
  <si>
    <t>Clean Maritime</t>
  </si>
  <si>
    <t>2106AT008/TW1</t>
  </si>
  <si>
    <t>The silent pandemic</t>
  </si>
  <si>
    <t>Centers for Disease Control and Prevention</t>
  </si>
  <si>
    <t>CDC</t>
  </si>
  <si>
    <t>Michette, Martin Dr</t>
  </si>
  <si>
    <t>2107AC002/NS4</t>
  </si>
  <si>
    <t>Climate resilience</t>
  </si>
  <si>
    <t>AC Count</t>
  </si>
  <si>
    <t>HALL, JAMES Prof</t>
  </si>
  <si>
    <t>AF</t>
  </si>
  <si>
    <t>2001AF005/GW1</t>
  </si>
  <si>
    <t>SDGS</t>
  </si>
  <si>
    <t>Swedish Research Council</t>
  </si>
  <si>
    <t>RC-SE</t>
  </si>
  <si>
    <t>2002AF005/GW1</t>
  </si>
  <si>
    <t>strategic transport networks</t>
  </si>
  <si>
    <t>Foreign, Commonwealth and Development Office</t>
  </si>
  <si>
    <t>DFID</t>
  </si>
  <si>
    <t>2004AF006/GW1</t>
  </si>
  <si>
    <t>NSSM</t>
  </si>
  <si>
    <t>Ofwat</t>
  </si>
  <si>
    <t>OFWAT</t>
  </si>
  <si>
    <t>2006AF004/GW1</t>
  </si>
  <si>
    <t>Net carbon zero</t>
  </si>
  <si>
    <t>Strategic Research Fund</t>
  </si>
  <si>
    <t>SRF-OX</t>
  </si>
  <si>
    <t>INGRAM, JOHN Dr</t>
  </si>
  <si>
    <t>2006AF005/GW1</t>
  </si>
  <si>
    <t>FOSI</t>
  </si>
  <si>
    <t>Open Society Foundations</t>
  </si>
  <si>
    <t>BARNES, JACOB Dr</t>
  </si>
  <si>
    <t>2006AF009/GW1</t>
  </si>
  <si>
    <t>ECitShip</t>
  </si>
  <si>
    <t>H2020 Research and Innovation Actions (RIA) v3</t>
  </si>
  <si>
    <t>2006CT002/EH7</t>
  </si>
  <si>
    <t>CCCES</t>
  </si>
  <si>
    <t>Centres and Large Grants</t>
  </si>
  <si>
    <t>SMITH, ALISON Ms</t>
  </si>
  <si>
    <t>2007AF004/GW1</t>
  </si>
  <si>
    <t>SMMR</t>
  </si>
  <si>
    <t>DARBY, SARAH Dr</t>
  </si>
  <si>
    <t>2007DF001/VN3</t>
  </si>
  <si>
    <t>ElectriCAM</t>
  </si>
  <si>
    <t>Biotechnology &amp; Biological Sciences Research Council</t>
  </si>
  <si>
    <t>BBSRC</t>
  </si>
  <si>
    <t>OTTO, FRIEDERIKE Prof</t>
  </si>
  <si>
    <t>2008AF002/GW1</t>
  </si>
  <si>
    <t>XAIDA</t>
  </si>
  <si>
    <t>2008AF005/GW1</t>
  </si>
  <si>
    <t>New Tools</t>
  </si>
  <si>
    <t>2008AF006/GW1</t>
  </si>
  <si>
    <t>ECF</t>
  </si>
  <si>
    <t>European Climate Foundation</t>
  </si>
  <si>
    <t>SHENKIN, ALEXANDER Dr</t>
  </si>
  <si>
    <t>2009AF003/GW1</t>
  </si>
  <si>
    <t>IRF</t>
  </si>
  <si>
    <t>Independent Research Fellowship Grant v2</t>
  </si>
  <si>
    <t>2010LC001/RB4</t>
  </si>
  <si>
    <t>AGILE</t>
  </si>
  <si>
    <t>2011AF004/GW1</t>
  </si>
  <si>
    <t>Jamacia</t>
  </si>
  <si>
    <t>Foreign &amp; Commonwealth Office</t>
  </si>
  <si>
    <t>FCO</t>
  </si>
  <si>
    <t>HIRONS, MARK Dr</t>
  </si>
  <si>
    <t>2011AF006/GW1</t>
  </si>
  <si>
    <t>2011AF008/GW1</t>
  </si>
  <si>
    <t>OCNF</t>
  </si>
  <si>
    <t>Knowledge Exchange Fellowship</t>
  </si>
  <si>
    <t>2011AF009/GW1</t>
  </si>
  <si>
    <t>Trescapes</t>
  </si>
  <si>
    <t>MCDERMOTT, CONSTANCE Dr</t>
  </si>
  <si>
    <t>2101AF001/GW1</t>
  </si>
  <si>
    <t>RESTOREU</t>
  </si>
  <si>
    <t>GARNETT, TARA Dr</t>
  </si>
  <si>
    <t>2101AF004/GW1</t>
  </si>
  <si>
    <t>Table</t>
  </si>
  <si>
    <t>Quadrature Climate Foundation</t>
  </si>
  <si>
    <t>QCF</t>
  </si>
  <si>
    <t>HASNAIN-LEAVER, SAHER Dr</t>
  </si>
  <si>
    <t>2101AF006/GW1</t>
  </si>
  <si>
    <t>FSA</t>
  </si>
  <si>
    <t>Food Standards Agency</t>
  </si>
  <si>
    <t>2101AF007/GW1</t>
  </si>
  <si>
    <t>GLA</t>
  </si>
  <si>
    <t>Greater London Authority</t>
  </si>
  <si>
    <t>Mose-LEAVER, Tedd Dr</t>
  </si>
  <si>
    <t>2101DF001/VN3</t>
  </si>
  <si>
    <t>RESTORE</t>
  </si>
  <si>
    <t>OBERSTEINER, MICHAEL Prof</t>
  </si>
  <si>
    <t>2102AF004/GW1</t>
  </si>
  <si>
    <t>Land use futures</t>
  </si>
  <si>
    <t>2102AT007/TW1</t>
  </si>
  <si>
    <t>Blue-green space in cities</t>
  </si>
  <si>
    <t>2103AF002/NS4</t>
  </si>
  <si>
    <t>Transforming UK food systems</t>
  </si>
  <si>
    <t>2103LC001/CJ5</t>
  </si>
  <si>
    <t>WALTON, PETER Dr</t>
  </si>
  <si>
    <t>2107AF003/NS4</t>
  </si>
  <si>
    <t>Embedded researcher</t>
  </si>
  <si>
    <t>AF Count</t>
  </si>
  <si>
    <t>KESTER-LEAVER, JOHANNES Dr</t>
  </si>
  <si>
    <t>JQ</t>
  </si>
  <si>
    <t>2102JQ001/GW1</t>
  </si>
  <si>
    <t>PRINCE</t>
  </si>
  <si>
    <t>New Investigator Grant</t>
  </si>
  <si>
    <t>Plyushteva, Anna Dr</t>
  </si>
  <si>
    <t>2104JQ001/GW1</t>
  </si>
  <si>
    <t>CHANSE</t>
  </si>
  <si>
    <t>2106JQ001/GW1</t>
  </si>
  <si>
    <t>Newton</t>
  </si>
  <si>
    <t>XXNewton International Fellowship Grant</t>
  </si>
  <si>
    <t>JQ Count</t>
  </si>
  <si>
    <t>HEPBURN, CAMERON Prof</t>
  </si>
  <si>
    <t>LD</t>
  </si>
  <si>
    <t>1910LD005/GW1</t>
  </si>
  <si>
    <t>NERC GGRD</t>
  </si>
  <si>
    <t>CALDECOTT, BENJAMIN Dr</t>
  </si>
  <si>
    <t>2005LD001/GW1</t>
  </si>
  <si>
    <t>CERAFF</t>
  </si>
  <si>
    <t>Brophy, AOIFE Dr</t>
  </si>
  <si>
    <t>2008AF004/GW1</t>
  </si>
  <si>
    <t>SIPPBACC</t>
  </si>
  <si>
    <t>H2020 Marie Curie European Fellowship v3</t>
  </si>
  <si>
    <t>2008LD001/GW1</t>
  </si>
  <si>
    <t>Post Covid Recovery</t>
  </si>
  <si>
    <t>Engineering &amp; Physical Sciences Research Council</t>
  </si>
  <si>
    <t>EPSRC</t>
  </si>
  <si>
    <t>XXGeneric v2</t>
  </si>
  <si>
    <t>KHOSLA, RADHIKA Dr</t>
  </si>
  <si>
    <t>2009DF001/VN3</t>
  </si>
  <si>
    <t>UKool Maps</t>
  </si>
  <si>
    <t>STRITZKE, SUSANN Dr</t>
  </si>
  <si>
    <t>2009LD004/GW1</t>
  </si>
  <si>
    <t>Women led preparedness</t>
  </si>
  <si>
    <t>2009LD005/GW1</t>
  </si>
  <si>
    <t>ETRC</t>
  </si>
  <si>
    <t>Ikea Foundation</t>
  </si>
  <si>
    <t>IKEAF</t>
  </si>
  <si>
    <t>2009LD007/GW1</t>
  </si>
  <si>
    <t>Public and third sector</t>
  </si>
  <si>
    <t>2009LD008/GW1</t>
  </si>
  <si>
    <t>SFI</t>
  </si>
  <si>
    <t>2009LD009/GW1</t>
  </si>
  <si>
    <t>Future of engagement</t>
  </si>
  <si>
    <t>2010LD002/AS16</t>
  </si>
  <si>
    <t>Cross cultural perspectives</t>
  </si>
  <si>
    <t>XXGlobal Challenges Research Fund</t>
  </si>
  <si>
    <t>Ansar, Atif</t>
  </si>
  <si>
    <t>2010LD003/AS16</t>
  </si>
  <si>
    <t>Preventing the Flood</t>
  </si>
  <si>
    <t>WETZER, THOM Mr</t>
  </si>
  <si>
    <t>2010LD007/AS16</t>
  </si>
  <si>
    <t>SLP core</t>
  </si>
  <si>
    <t>Foundation for International Law for the Environment</t>
  </si>
  <si>
    <t>FILE</t>
  </si>
  <si>
    <t>THOMSON-LEAVER, PATRICK Mr</t>
  </si>
  <si>
    <t>2011LD002/GW1</t>
  </si>
  <si>
    <t>Resilient water supplies</t>
  </si>
  <si>
    <t>Smith, Stephen Dr</t>
  </si>
  <si>
    <t>2104LE001/DL6</t>
  </si>
  <si>
    <t>Net Zero Dashboard</t>
  </si>
  <si>
    <t>2105LD002/AS16</t>
  </si>
  <si>
    <t>Pricing of energy transition</t>
  </si>
  <si>
    <t>Barbrook-Johnson-LEAVER, Peter Dr</t>
  </si>
  <si>
    <t>2106LD001/GW1</t>
  </si>
  <si>
    <t>Trans-Atlantic Platform</t>
  </si>
  <si>
    <t>LD Count</t>
  </si>
  <si>
    <t>Grand Count</t>
  </si>
  <si>
    <t>2102AC009/GW1</t>
  </si>
  <si>
    <t>Nature Recovery</t>
  </si>
  <si>
    <t>FY 2122</t>
  </si>
  <si>
    <t>Research Project Grant (v6)</t>
  </si>
  <si>
    <t>Anderson-Elliott, Henry Mr</t>
  </si>
  <si>
    <t>2103AC001/NS4</t>
  </si>
  <si>
    <t>Knowing Misha the Polar Bear</t>
  </si>
  <si>
    <t>WEDDING, LISA Dr</t>
  </si>
  <si>
    <t>2103AC002/GW1</t>
  </si>
  <si>
    <t>Land sea connectivity</t>
  </si>
  <si>
    <t>SADDINGTON, LIAM Mr</t>
  </si>
  <si>
    <t>2103AC002/NS4</t>
  </si>
  <si>
    <t>Prefiguring the Future</t>
  </si>
  <si>
    <t>ROSE, GILLIAN Prof</t>
  </si>
  <si>
    <t>2104AC006/GW1</t>
  </si>
  <si>
    <t>CHANCE</t>
  </si>
  <si>
    <t>FUCKAR, NEVEN-STJEPAN Dr</t>
  </si>
  <si>
    <t>2106AC002/GW1</t>
  </si>
  <si>
    <t>Salubrious Dynamic Geography</t>
  </si>
  <si>
    <t>2108AC003/GW1</t>
  </si>
  <si>
    <t>Green Clean</t>
  </si>
  <si>
    <t>Horizon Europe Research &amp; Innovation Actions (RIA)</t>
  </si>
  <si>
    <t>2109AC005/GW1</t>
  </si>
  <si>
    <t>URBANEG</t>
  </si>
  <si>
    <t>Horizon Europe MSCA Postdoctoral Fellowships</t>
  </si>
  <si>
    <t>Jokela-Pansini, Maaret</t>
  </si>
  <si>
    <t>2110AC001/NS4</t>
  </si>
  <si>
    <t>Experiencing long covid</t>
  </si>
  <si>
    <t>Mo, Yu Dr</t>
  </si>
  <si>
    <t>2110AC002/NS4</t>
  </si>
  <si>
    <t>CoastNet</t>
  </si>
  <si>
    <t>Migozzi, Julien Dr</t>
  </si>
  <si>
    <t>2110AC003/GW1</t>
  </si>
  <si>
    <t>Real estate platforms</t>
  </si>
  <si>
    <t>Urban Studies Foundation</t>
  </si>
  <si>
    <t>USF</t>
  </si>
  <si>
    <t>Postdoctoral Research Fellowship</t>
  </si>
  <si>
    <t>Kirksey, Eben</t>
  </si>
  <si>
    <t>2110AC005/GW1</t>
  </si>
  <si>
    <t>Living with virues</t>
  </si>
  <si>
    <t>XXInvestigator Award</t>
  </si>
  <si>
    <t>Galip, Ozlem</t>
  </si>
  <si>
    <t>2111AC002/GW1</t>
  </si>
  <si>
    <t>Empowering women</t>
  </si>
  <si>
    <t>MURREY-NDEWA, AMBER Dr</t>
  </si>
  <si>
    <t>2111AC006/GW1</t>
  </si>
  <si>
    <t>Extraction &amp; Social Scientist</t>
  </si>
  <si>
    <t>2112AC003/NS4</t>
  </si>
  <si>
    <t>Reclaiming a More Resilient</t>
  </si>
  <si>
    <t>Axa Research Fund</t>
  </si>
  <si>
    <t>AXARF</t>
  </si>
  <si>
    <t>2201AC002/GW1</t>
  </si>
  <si>
    <t>Call the midwife</t>
  </si>
  <si>
    <t>Warnock, Rosalie</t>
  </si>
  <si>
    <t>2201AC002/NS4</t>
  </si>
  <si>
    <t>ESRC Post docs</t>
  </si>
  <si>
    <t>Linton, Charlotte</t>
  </si>
  <si>
    <t>2201AC003/GW1</t>
  </si>
  <si>
    <t>Regenerating fashion</t>
  </si>
  <si>
    <t>Early-Career Awards</t>
  </si>
  <si>
    <t>2201AC004/NS4</t>
  </si>
  <si>
    <t>CSSP Brazil Project follow-on</t>
  </si>
  <si>
    <t>Met Office</t>
  </si>
  <si>
    <t>METOFF</t>
  </si>
  <si>
    <t>Azzouz, Ammar</t>
  </si>
  <si>
    <t>2201AC005/NS4</t>
  </si>
  <si>
    <t>Slow violence in the city</t>
  </si>
  <si>
    <t>Fair-LEAVER, Hannah Dr</t>
  </si>
  <si>
    <t>2201AC006/NS4</t>
  </si>
  <si>
    <t>Squalid Natures</t>
  </si>
  <si>
    <t>Early Career Fellowship Grant v4</t>
  </si>
  <si>
    <t>2201AC007/NS4</t>
  </si>
  <si>
    <t>Towards healthier coasts</t>
  </si>
  <si>
    <t>2201AC009/NS4</t>
  </si>
  <si>
    <t>Hacking Cattle for the Anthrop</t>
  </si>
  <si>
    <t>HOPKINS, DEBORAH Dr</t>
  </si>
  <si>
    <t>2201AT009/TW1</t>
  </si>
  <si>
    <t>Pandemic resilience</t>
  </si>
  <si>
    <t>Oxford Martin School</t>
  </si>
  <si>
    <t>OXMARTNS</t>
  </si>
  <si>
    <t>Generic Standard</t>
  </si>
  <si>
    <t>2201DF009/RL2</t>
  </si>
  <si>
    <t>CSSP Brazil</t>
  </si>
  <si>
    <t>Liao, Yu-Kai</t>
  </si>
  <si>
    <t>2202AC001/GW1</t>
  </si>
  <si>
    <t>One Health</t>
  </si>
  <si>
    <t>Career Development Awards</t>
  </si>
  <si>
    <t>Watson, Alice</t>
  </si>
  <si>
    <t>2202AC002/NS4</t>
  </si>
  <si>
    <t>Radio and podcast geopolitics</t>
  </si>
  <si>
    <t>2203AC001/NS4</t>
  </si>
  <si>
    <t>2203AC002/GW1</t>
  </si>
  <si>
    <t>Seasonal Streamflow Forecastin</t>
  </si>
  <si>
    <t>Royal Society</t>
  </si>
  <si>
    <t>ROYALSOC</t>
  </si>
  <si>
    <t>2203AC003/GW1</t>
  </si>
  <si>
    <t>Mistral</t>
  </si>
  <si>
    <t>2204AC002/GW1</t>
  </si>
  <si>
    <t>Animating urban life</t>
  </si>
  <si>
    <t>Major Research Fellowships v4</t>
  </si>
  <si>
    <t>2204AC003/GW1</t>
  </si>
  <si>
    <t>Land sea nutrient connectivity</t>
  </si>
  <si>
    <t>Standard Grant Research Grant v3</t>
  </si>
  <si>
    <t>2204AC004/GW1</t>
  </si>
  <si>
    <t>Alluvial landscape evolution</t>
  </si>
  <si>
    <t>2205AC003/GW1</t>
  </si>
  <si>
    <t>Intrahousehold dynamics</t>
  </si>
  <si>
    <t>International Development Research Centre</t>
  </si>
  <si>
    <t>IDRC</t>
  </si>
  <si>
    <t>2206AC001/NS4</t>
  </si>
  <si>
    <t>NERC Pushing the frontiers</t>
  </si>
  <si>
    <t>Gopalakrishna, Trisha</t>
  </si>
  <si>
    <t>2207AC002/GW1</t>
  </si>
  <si>
    <t>2207AC005/GW1</t>
  </si>
  <si>
    <t>Fisheries</t>
  </si>
  <si>
    <t>Schmidt Family Foundation</t>
  </si>
  <si>
    <t>TSFF</t>
  </si>
  <si>
    <t>FAWCETT, TINA Dr</t>
  </si>
  <si>
    <t>2102DF002/VN3</t>
  </si>
  <si>
    <t>EDOL</t>
  </si>
  <si>
    <t>Programme / Centre Grant v3</t>
  </si>
  <si>
    <t>ZUREK, MONIKA Dr</t>
  </si>
  <si>
    <t>2103AF001/NS4</t>
  </si>
  <si>
    <t>Fruit and vegetables</t>
  </si>
  <si>
    <t>2103AF003/GW1</t>
  </si>
  <si>
    <t>BeanMeals</t>
  </si>
  <si>
    <t>Aguirre Gutierrez, Jesus Dr</t>
  </si>
  <si>
    <t>2104AF001/NS4</t>
  </si>
  <si>
    <t>FunDiversity</t>
  </si>
  <si>
    <t>2104AF002/GW1</t>
  </si>
  <si>
    <t>UK food systems</t>
  </si>
  <si>
    <t>2105AF001/GW1</t>
  </si>
  <si>
    <t>FAST</t>
  </si>
  <si>
    <t>Dutch Ministry of Foreign Affairs</t>
  </si>
  <si>
    <t>DMFA</t>
  </si>
  <si>
    <t>SCHIPPER, EMMA Dr</t>
  </si>
  <si>
    <t>2107AF001/NS4</t>
  </si>
  <si>
    <t>Align</t>
  </si>
  <si>
    <t>Horizon Europe ERC CoG</t>
  </si>
  <si>
    <t>2107CD001/HA2</t>
  </si>
  <si>
    <t>ETW</t>
  </si>
  <si>
    <t>Horizon Europe ERC AdG</t>
  </si>
  <si>
    <t>2108AF001/NS4</t>
  </si>
  <si>
    <t>Mega</t>
  </si>
  <si>
    <t>LORD, STEVEN Dr</t>
  </si>
  <si>
    <t>2108AF003/NS4</t>
  </si>
  <si>
    <t>FoodCoST</t>
  </si>
  <si>
    <t>2109AF001/NS4</t>
  </si>
  <si>
    <t>The FOSTER Academy</t>
  </si>
  <si>
    <t>2109AF002/NS4</t>
  </si>
  <si>
    <t>Understanding the food system</t>
  </si>
  <si>
    <t>2109AT012/TW1</t>
  </si>
  <si>
    <t>GOVERNATURE</t>
  </si>
  <si>
    <t>Horizon Europe ERC Synergy</t>
  </si>
  <si>
    <t>2110AF002/GW1</t>
  </si>
  <si>
    <t>Deep soil</t>
  </si>
  <si>
    <t>Wilson, Charlie</t>
  </si>
  <si>
    <t>2112AF003/GW1</t>
  </si>
  <si>
    <t>PRISMA</t>
  </si>
  <si>
    <t>2201AF001/GW1</t>
  </si>
  <si>
    <t>Clean Heat Streets</t>
  </si>
  <si>
    <t>2201AF003/GW1</t>
  </si>
  <si>
    <t>Engineering</t>
  </si>
  <si>
    <t>Royal Academy of Engineering</t>
  </si>
  <si>
    <t>RAE</t>
  </si>
  <si>
    <t>Research Chair</t>
  </si>
  <si>
    <t>2201AF003/NS4</t>
  </si>
  <si>
    <t>ERC Flexible fund</t>
  </si>
  <si>
    <t>Generic v3</t>
  </si>
  <si>
    <t>2202AF001/GW1</t>
  </si>
  <si>
    <t>DIAMOND</t>
  </si>
  <si>
    <t>2202AF008/GW1</t>
  </si>
  <si>
    <t>Miraca</t>
  </si>
  <si>
    <t>HAMPTON, SAMUEL Dr</t>
  </si>
  <si>
    <t>2203AF001/NS4</t>
  </si>
  <si>
    <t>UKERC flexible fund</t>
  </si>
  <si>
    <t>2204AF002/GW1</t>
  </si>
  <si>
    <t>GRI</t>
  </si>
  <si>
    <t>World Bank</t>
  </si>
  <si>
    <t>WORLDBNK</t>
  </si>
  <si>
    <t>2109AE004/HP2</t>
  </si>
  <si>
    <t>BA-KF-SAME-SOGE-Good City</t>
  </si>
  <si>
    <t>Academy Research Projects v4</t>
  </si>
  <si>
    <t>2109JQ001/GW1</t>
  </si>
  <si>
    <t>ClimateMobilities</t>
  </si>
  <si>
    <t>Chung, Jinho Dr</t>
  </si>
  <si>
    <t>2201JQ001/GW1</t>
  </si>
  <si>
    <t>Science to policy</t>
  </si>
  <si>
    <t>2202JQ002/NS4</t>
  </si>
  <si>
    <t>Climate Mobilities</t>
  </si>
  <si>
    <t>100% DI only recovery, with inflation (all years)</t>
  </si>
  <si>
    <t>2205JQ001/GW1</t>
  </si>
  <si>
    <t>CEMENT</t>
  </si>
  <si>
    <t>2101LD002/AS16</t>
  </si>
  <si>
    <t>H2020 Green Deal</t>
  </si>
  <si>
    <t>2102BZ002/LB10</t>
  </si>
  <si>
    <t>Extreme Climate</t>
  </si>
  <si>
    <t>2109LD001/AS16</t>
  </si>
  <si>
    <t>SIMPLE-E</t>
  </si>
  <si>
    <t>Fankhauser, Samuel Prof</t>
  </si>
  <si>
    <t>2109LD001/GW1</t>
  </si>
  <si>
    <t>Productivity call</t>
  </si>
  <si>
    <t>2109LD002/GW1</t>
  </si>
  <si>
    <t>CLIMACT</t>
  </si>
  <si>
    <t>IVES, MATTHEW Dr</t>
  </si>
  <si>
    <t>2109LD008/AS16</t>
  </si>
  <si>
    <t>Just Transition</t>
  </si>
  <si>
    <t>2110LD002/AS16</t>
  </si>
  <si>
    <t>Just transition within sectors</t>
  </si>
  <si>
    <t>2110LD002/GW1</t>
  </si>
  <si>
    <t>ADJUST</t>
  </si>
  <si>
    <t>KRUITWAGEN-LEAVER, LUCAS Mr</t>
  </si>
  <si>
    <t>2111BL001/JL7</t>
  </si>
  <si>
    <t>ESA ITT UV-SR-XAI-001</t>
  </si>
  <si>
    <t>European Space Agency</t>
  </si>
  <si>
    <t>ESA</t>
  </si>
  <si>
    <t>2111LD001/GW1</t>
  </si>
  <si>
    <t>Tokenising Biodiversity</t>
  </si>
  <si>
    <t>Srivastav, Sugandha</t>
  </si>
  <si>
    <t>2201LD004/LC10</t>
  </si>
  <si>
    <t>Climate Compatible Future</t>
  </si>
  <si>
    <t>MCCARTHY-LEAVER, ANDREW Mr</t>
  </si>
  <si>
    <t>2202LD001/GW1</t>
  </si>
  <si>
    <t>COP27</t>
  </si>
  <si>
    <t>2202LE004/DL6</t>
  </si>
  <si>
    <t>Net Zero Dashboard 2</t>
  </si>
  <si>
    <t>2207LD007/GW1</t>
  </si>
  <si>
    <t>Impact Challenge</t>
  </si>
  <si>
    <t>Google Inc</t>
  </si>
  <si>
    <t>GOOGLEUS</t>
  </si>
  <si>
    <t>MIDDLETON, JENNIE Dr</t>
  </si>
  <si>
    <t>2205AC002/NS4</t>
  </si>
  <si>
    <t>Care on the move</t>
  </si>
  <si>
    <t>FY 2223</t>
  </si>
  <si>
    <t>2206B9001/HB3</t>
  </si>
  <si>
    <t>Hospital Risk RIGHT nihr</t>
  </si>
  <si>
    <t>2208AC002/GW1</t>
  </si>
  <si>
    <t>NCR3M</t>
  </si>
  <si>
    <t>XXUniversity Research Fellowship Grant (v4)</t>
  </si>
  <si>
    <t>Submitted to funder</t>
  </si>
  <si>
    <t>2208AC003/GW1</t>
  </si>
  <si>
    <t>Rural water safety</t>
  </si>
  <si>
    <t>Medical Research Council</t>
  </si>
  <si>
    <t>MRC</t>
  </si>
  <si>
    <t>MARTIN-LEAVER, ANDREW Dr</t>
  </si>
  <si>
    <t>2209AC007/GW1</t>
  </si>
  <si>
    <t>Annuli</t>
  </si>
  <si>
    <t>MONTES STREVENS-LEAVER, CHLOE Dr</t>
  </si>
  <si>
    <t>2209AC009/GW1</t>
  </si>
  <si>
    <t>Ekiti state</t>
  </si>
  <si>
    <t>Department for Environment Food &amp; Rural Affairs</t>
  </si>
  <si>
    <t>DEFRA</t>
  </si>
  <si>
    <t>2209AC010/GW1</t>
  </si>
  <si>
    <t>Thermodynamic flood events</t>
  </si>
  <si>
    <t>LORIMER, JAMIE Prof</t>
  </si>
  <si>
    <t>2209BZ006/LB10</t>
  </si>
  <si>
    <t>SHIFT</t>
  </si>
  <si>
    <t>MESSINA, JANE Dr</t>
  </si>
  <si>
    <t>2210AC004/GW1</t>
  </si>
  <si>
    <t>Animal vector borne diseases</t>
  </si>
  <si>
    <t>2210M3002/FT2</t>
  </si>
  <si>
    <t>SOC</t>
  </si>
  <si>
    <t>International Academic Fellowship v2</t>
  </si>
  <si>
    <t>2211AC003/CO5</t>
  </si>
  <si>
    <t>Atmospheric Rivers</t>
  </si>
  <si>
    <t>Wrigley, Charlotte</t>
  </si>
  <si>
    <t>2211AC006/CO5</t>
  </si>
  <si>
    <t>Avian Anthropocenes</t>
  </si>
  <si>
    <t>Visiting Fellowship v2</t>
  </si>
  <si>
    <t>2212AC002/GW1</t>
  </si>
  <si>
    <t>Beyond Atlanticism</t>
  </si>
  <si>
    <t>Mid-career Fellowship Grant v2</t>
  </si>
  <si>
    <t>WILHELM, KATRIN Dr</t>
  </si>
  <si>
    <t>2301AC003/GW1</t>
  </si>
  <si>
    <t>Talking stones</t>
  </si>
  <si>
    <t>2301DC002/HL1</t>
  </si>
  <si>
    <t>Stier AI Hub</t>
  </si>
  <si>
    <t>Standard Research Grant v3</t>
  </si>
  <si>
    <t>Gini, Giovanna</t>
  </si>
  <si>
    <t>2302AC005/GW1</t>
  </si>
  <si>
    <t>Humans fish and water</t>
  </si>
  <si>
    <t>Verschuur-LEAVER, Jasper Dr</t>
  </si>
  <si>
    <t>2303AC001/AG8</t>
  </si>
  <si>
    <t>DAFNI BRSW call</t>
  </si>
  <si>
    <t>Science and Technology Facilities Council</t>
  </si>
  <si>
    <t>STFC</t>
  </si>
  <si>
    <t>2303AC001/GW1</t>
  </si>
  <si>
    <t>Critical writing</t>
  </si>
  <si>
    <t>2303AC002/GW1</t>
  </si>
  <si>
    <t>Climate change and crisis</t>
  </si>
  <si>
    <t>GRENYER, RICHARD Dr</t>
  </si>
  <si>
    <t>2303AC006/GW1</t>
  </si>
  <si>
    <t>Digital data</t>
  </si>
  <si>
    <t>Newton International Fellowships</t>
  </si>
  <si>
    <t>2303AC011/GW1</t>
  </si>
  <si>
    <t>Greening Cities</t>
  </si>
  <si>
    <t>2303BZ001/LB10</t>
  </si>
  <si>
    <t>LEAP2</t>
  </si>
  <si>
    <t>2304AC001/GW1</t>
  </si>
  <si>
    <t>Pushing the Frontiers Jul 23</t>
  </si>
  <si>
    <t>2304AE001/AS14</t>
  </si>
  <si>
    <t>InSIS-ECF-JO-GOCNZIA</t>
  </si>
  <si>
    <t>MURGATROYD-LEAVER, ANNA Dr</t>
  </si>
  <si>
    <t>2305AC001/LG7</t>
  </si>
  <si>
    <t>Pywr-WREW</t>
  </si>
  <si>
    <t>Standard Grant Research Grant/PPRPv2</t>
  </si>
  <si>
    <t>2305AC003/LG7</t>
  </si>
  <si>
    <t>RGHI - ICA Costing</t>
  </si>
  <si>
    <t>Reckitt Global Hygiene Institute</t>
  </si>
  <si>
    <t>RGHI</t>
  </si>
  <si>
    <t>2306HQ001/VW1</t>
  </si>
  <si>
    <t>CoGroLabs</t>
  </si>
  <si>
    <t>2202AF002/GW1</t>
  </si>
  <si>
    <t>CARPE C</t>
  </si>
  <si>
    <t>2205AF001/NS4</t>
  </si>
  <si>
    <t>CLARE</t>
  </si>
  <si>
    <t>2209AF003/GW1</t>
  </si>
  <si>
    <t>Mixed methods</t>
  </si>
  <si>
    <t>Stevens, Nicola Dr</t>
  </si>
  <si>
    <t>2209AF007/GW1</t>
  </si>
  <si>
    <t>Herbivores</t>
  </si>
  <si>
    <t>Pettifor, Hazel Dr</t>
  </si>
  <si>
    <t>2210AF003/GW1</t>
  </si>
  <si>
    <t>Secondary data</t>
  </si>
  <si>
    <t>Mo, Yu</t>
  </si>
  <si>
    <t>2211AF001/GW1</t>
  </si>
  <si>
    <t>2211AF002/CO5</t>
  </si>
  <si>
    <t>2211AF003/CO5</t>
  </si>
  <si>
    <t>Tree structural and leaf trait</t>
  </si>
  <si>
    <t>2211AF004/CO5</t>
  </si>
  <si>
    <t>Pump Priming</t>
  </si>
  <si>
    <t>Sandpits v3</t>
  </si>
  <si>
    <t>EYRE, NICHOLAS Prof</t>
  </si>
  <si>
    <t>2212AF001/CO5</t>
  </si>
  <si>
    <t>PROG-ROC</t>
  </si>
  <si>
    <t>Research Grant</t>
  </si>
  <si>
    <t>2302AF002/GW1</t>
  </si>
  <si>
    <t>Major Ireland</t>
  </si>
  <si>
    <t>2302AF003/GW1</t>
  </si>
  <si>
    <t>PARTEMIS</t>
  </si>
  <si>
    <t>2302AF004/GW1</t>
  </si>
  <si>
    <t>FoSSNet</t>
  </si>
  <si>
    <t>2302AF005/GW1</t>
  </si>
  <si>
    <t>Sure Food</t>
  </si>
  <si>
    <t>Parrish, Bryony Dr</t>
  </si>
  <si>
    <t>2303AF001/GW1</t>
  </si>
  <si>
    <t>USES</t>
  </si>
  <si>
    <t>2304AF001/AG8</t>
  </si>
  <si>
    <t>MultiFutures</t>
  </si>
  <si>
    <t>PANT, RAGHAV Dr</t>
  </si>
  <si>
    <t>2305AF001/LG7</t>
  </si>
  <si>
    <t>Systemic Resilience</t>
  </si>
  <si>
    <t>HIGGINSON-LEAVER, SARAH Dr</t>
  </si>
  <si>
    <t>2306AF001/LG7</t>
  </si>
  <si>
    <t>ACCESS Flex Fund</t>
  </si>
  <si>
    <t>2306AF003/LG7</t>
  </si>
  <si>
    <t>Global Resilience Index</t>
  </si>
  <si>
    <t>Howden Foundation</t>
  </si>
  <si>
    <t>HOWDEN</t>
  </si>
  <si>
    <t>2307AF006/LG7</t>
  </si>
  <si>
    <t>LUNZ Hub</t>
  </si>
  <si>
    <t>Standard Grant Research Grant v2</t>
  </si>
  <si>
    <t>2207JQ001/GW1</t>
  </si>
  <si>
    <t>Go-2W</t>
  </si>
  <si>
    <t>2208JQ001/GW1</t>
  </si>
  <si>
    <t>Newer</t>
  </si>
  <si>
    <t>2208JQ004/GW1</t>
  </si>
  <si>
    <t>CLIMMOB</t>
  </si>
  <si>
    <t>2210JQ002/GW1</t>
  </si>
  <si>
    <t>DUT SPECIFIC</t>
  </si>
  <si>
    <t>Li-LEAVER, Xiao Dr</t>
  </si>
  <si>
    <t>2301JQ001/GW1</t>
  </si>
  <si>
    <t>TRB</t>
  </si>
  <si>
    <t>National Academy of Sciences</t>
  </si>
  <si>
    <t>NAS</t>
  </si>
  <si>
    <t>2305JQ001/AG8</t>
  </si>
  <si>
    <t>DIWERSE</t>
  </si>
  <si>
    <t>2306JQ001/LG7</t>
  </si>
  <si>
    <t>SLAM-based road safety</t>
  </si>
  <si>
    <t>Government of the Hong Kong Special Administrative Region</t>
  </si>
  <si>
    <t>GHKSAR</t>
  </si>
  <si>
    <t>DYER, ELLEN Dr</t>
  </si>
  <si>
    <t>2205LD001/NS4</t>
  </si>
  <si>
    <t>Palm Trees</t>
  </si>
  <si>
    <t>2206LD001/LC10</t>
  </si>
  <si>
    <t>UK Pact_Thailand</t>
  </si>
  <si>
    <t>2207DF003/GW11</t>
  </si>
  <si>
    <t>Cooling Vietnam's Cold Chains</t>
  </si>
  <si>
    <t>CLARK, MICHAEL Mr</t>
  </si>
  <si>
    <t>2208BZ001/LB10</t>
  </si>
  <si>
    <t>SALIENT</t>
  </si>
  <si>
    <t>2208LD001/GW1</t>
  </si>
  <si>
    <t>2208LD002/LC10</t>
  </si>
  <si>
    <t>REECE-LEAVER, STEVEN Dr</t>
  </si>
  <si>
    <t>2208LD003/LC10</t>
  </si>
  <si>
    <t>Robust ESG data</t>
  </si>
  <si>
    <t>Ranger-LEAVER, Nicola Dr</t>
  </si>
  <si>
    <t>2208LD005/LC10</t>
  </si>
  <si>
    <t>Integrating Nature</t>
  </si>
  <si>
    <t>2208LD006/LC10</t>
  </si>
  <si>
    <t>TPT</t>
  </si>
  <si>
    <t>2209LD001/GW1</t>
  </si>
  <si>
    <t>Zero Emission</t>
  </si>
  <si>
    <t>2209LD001/LC10</t>
  </si>
  <si>
    <t>CEH</t>
  </si>
  <si>
    <t>2211BZ004/AMF1</t>
  </si>
  <si>
    <t>winter pressures</t>
  </si>
  <si>
    <t>Health Data Research UK</t>
  </si>
  <si>
    <t>HDR-UK</t>
  </si>
  <si>
    <t>2211LD001/AS16</t>
  </si>
  <si>
    <t>FoodMetric Tool</t>
  </si>
  <si>
    <t>2302BZ004/LB10</t>
  </si>
  <si>
    <t>SALIENT Delivery</t>
  </si>
  <si>
    <t>XXGeneric (inc inflation)</t>
  </si>
  <si>
    <t>Bartlett, Harriet Ms</t>
  </si>
  <si>
    <t>2302LD001/AS16</t>
  </si>
  <si>
    <t>Wellcome Trust Fellowship app</t>
  </si>
  <si>
    <t>2302LD001/GW1</t>
  </si>
  <si>
    <t>Environmental chllenges</t>
  </si>
  <si>
    <t>Schwarz, Moritz</t>
  </si>
  <si>
    <t>2302LD002/GW1</t>
  </si>
  <si>
    <t>Integrated assessment model</t>
  </si>
  <si>
    <t>2303LD003/AS16</t>
  </si>
  <si>
    <t>Centre in Low-Carbon living</t>
  </si>
  <si>
    <t>STUART-SMITH, RUPERT Mr</t>
  </si>
  <si>
    <t>2303LD004/IP1</t>
  </si>
  <si>
    <t>SLP_CRD Project</t>
  </si>
  <si>
    <t>2304DC001/BE2</t>
  </si>
  <si>
    <t>GeoNetZero</t>
  </si>
  <si>
    <t>2306AF004/AG8</t>
  </si>
  <si>
    <t>Neo Sensors</t>
  </si>
  <si>
    <t>FY 2324</t>
  </si>
  <si>
    <t>2307AC003/LG7</t>
  </si>
  <si>
    <t>SPIDER</t>
  </si>
  <si>
    <t>Watson-LEAVER, Alice Dr</t>
  </si>
  <si>
    <t>2307AC004/LG7</t>
  </si>
  <si>
    <t>BBC Follow-on</t>
  </si>
  <si>
    <t>2307AC006/LG7</t>
  </si>
  <si>
    <t>RANGE</t>
  </si>
  <si>
    <t>2307AC007/LG7</t>
  </si>
  <si>
    <t>Test-Tube TV</t>
  </si>
  <si>
    <t>Daphne Jackson Memorial Fellowship Trust</t>
  </si>
  <si>
    <t>DJMFT</t>
  </si>
  <si>
    <t>2308AC003/AG8</t>
  </si>
  <si>
    <t>Novo Nordisk</t>
  </si>
  <si>
    <t>Novo Nordisk Foundation</t>
  </si>
  <si>
    <t>NNFONDEN</t>
  </si>
  <si>
    <t>2308AC003/LG7</t>
  </si>
  <si>
    <t>CCAM - Canada</t>
  </si>
  <si>
    <t>2308AC004/AG8</t>
  </si>
  <si>
    <t>REFRESH</t>
  </si>
  <si>
    <t>2308AC004/LG7</t>
  </si>
  <si>
    <t>GLOSTRESS</t>
  </si>
  <si>
    <t>2308AC007/AG8</t>
  </si>
  <si>
    <t>FIRESTORM</t>
  </si>
  <si>
    <t>2309AC002/AG8</t>
  </si>
  <si>
    <t>OCHRE</t>
  </si>
  <si>
    <t>Jenkins, Stuart Dr</t>
  </si>
  <si>
    <t>2309AC002/LG7</t>
  </si>
  <si>
    <t>U Ed ESRC Responsive</t>
  </si>
  <si>
    <t>2309AC003/LG7</t>
  </si>
  <si>
    <t>SURIMI</t>
  </si>
  <si>
    <t>UK Research and Innovation/ European Research Council</t>
  </si>
  <si>
    <t>UKRIERC</t>
  </si>
  <si>
    <t>Horizon Europe Guarantee funding – ERC</t>
  </si>
  <si>
    <t>Gebrechorkos, Solomon Dr</t>
  </si>
  <si>
    <t>2309AC005/LG7</t>
  </si>
  <si>
    <t>Hydroclimate extremes</t>
  </si>
  <si>
    <t>2309DG003/GB5</t>
  </si>
  <si>
    <t>STRAIN</t>
  </si>
  <si>
    <t>2310AC004/LG7</t>
  </si>
  <si>
    <t>ORA 8</t>
  </si>
  <si>
    <t>Ferraro, Kristy</t>
  </si>
  <si>
    <t>2310AC006/LG7</t>
  </si>
  <si>
    <t>Kristy Ferraro NERC</t>
  </si>
  <si>
    <t>2310DG003/GB5</t>
  </si>
  <si>
    <t>RAPID-INVERSE</t>
  </si>
  <si>
    <t>2311AC003/LG7</t>
  </si>
  <si>
    <t>DISSENT</t>
  </si>
  <si>
    <t>2311AC005/VS1</t>
  </si>
  <si>
    <t>Black and African Geographies</t>
  </si>
  <si>
    <t>2311AC006/VS1</t>
  </si>
  <si>
    <t>Tropical Peatland</t>
  </si>
  <si>
    <t>2401AC001/AG8</t>
  </si>
  <si>
    <t>MAPLE</t>
  </si>
  <si>
    <t>2401AC001/VS1</t>
  </si>
  <si>
    <t>Wytham Woods LEMON</t>
  </si>
  <si>
    <t>European Forest Institute</t>
  </si>
  <si>
    <t>EFI</t>
  </si>
  <si>
    <t>Liu, Weihang Dr</t>
  </si>
  <si>
    <t>2402AC002/LG7</t>
  </si>
  <si>
    <t>multi-source land surface data</t>
  </si>
  <si>
    <t>Ippolito-LEAVER, Angelo Mr</t>
  </si>
  <si>
    <t>2402AC002/VS1</t>
  </si>
  <si>
    <t>The Chemical Kinship Atlas</t>
  </si>
  <si>
    <t>2403AC002/LG7</t>
  </si>
  <si>
    <t>Wellcome Climate Impact</t>
  </si>
  <si>
    <t>MORENO MATEOS, DAVID Dr</t>
  </si>
  <si>
    <t>2403AC003/VS1</t>
  </si>
  <si>
    <t>temperate forests</t>
  </si>
  <si>
    <t>2403AC004/VS1</t>
  </si>
  <si>
    <t>Modulated Lateral Dynamics</t>
  </si>
  <si>
    <t>2403DG003/GB5</t>
  </si>
  <si>
    <t>RIVER-FUTURES</t>
  </si>
  <si>
    <t>WASHINGTON, RICHARD Prof</t>
  </si>
  <si>
    <t>2404AC002/EG8</t>
  </si>
  <si>
    <t>HILLY</t>
  </si>
  <si>
    <t>2404AC003/LG7</t>
  </si>
  <si>
    <t>The recovery of the adaptive</t>
  </si>
  <si>
    <t>Platt, Ben Dr</t>
  </si>
  <si>
    <t>2404AC005/EG8</t>
  </si>
  <si>
    <t>ESRC Grand Union DTP</t>
  </si>
  <si>
    <t>2404AC006/EG8</t>
  </si>
  <si>
    <t>Philip Leverhulme Prize</t>
  </si>
  <si>
    <t>Philip Leverhulme Prizes v5</t>
  </si>
  <si>
    <t>KHAN, NAMEERAH Dr</t>
  </si>
  <si>
    <t>2405AC004/VS1</t>
  </si>
  <si>
    <t>Water Contamination</t>
  </si>
  <si>
    <t>GROVE, RICHARD Dr</t>
  </si>
  <si>
    <t>2405E0001/HA2</t>
  </si>
  <si>
    <t>EnRICH Communities</t>
  </si>
  <si>
    <t>GREENHOUGH, BETH Prof</t>
  </si>
  <si>
    <t>2405HM007/RA4</t>
  </si>
  <si>
    <t>MRC Johansen-Berg</t>
  </si>
  <si>
    <t>2406AC002/VS1</t>
  </si>
  <si>
    <t>Hydroclimate Extremes</t>
  </si>
  <si>
    <t>2406AC003/VS1</t>
  </si>
  <si>
    <t>TWINS</t>
  </si>
  <si>
    <t>2407AC002/VS1</t>
  </si>
  <si>
    <t>HYDRO-DISCO</t>
  </si>
  <si>
    <t>2303AF005/GW1</t>
  </si>
  <si>
    <t>NFRFI CoGEN</t>
  </si>
  <si>
    <t>Bobrova, Yekatherina Dr</t>
  </si>
  <si>
    <t>2304AF002/AG8</t>
  </si>
  <si>
    <t>ESCR New Investigator Grant</t>
  </si>
  <si>
    <t>Sugar-LEAVER, Katherine Dr</t>
  </si>
  <si>
    <t>2307AF004/LG7</t>
  </si>
  <si>
    <t>Researchers in Residence</t>
  </si>
  <si>
    <t>2307AF015/LG7</t>
  </si>
  <si>
    <t>Climate Mitigation NFRFI</t>
  </si>
  <si>
    <t>2308AF001/AG8</t>
  </si>
  <si>
    <t>AFN Champion-healthy diets</t>
  </si>
  <si>
    <t>TOPOUZI, MARINA Dr</t>
  </si>
  <si>
    <t>2308AF004/LG7</t>
  </si>
  <si>
    <t>Pathfinders 2 Innovate</t>
  </si>
  <si>
    <t>2308AF005/LG7</t>
  </si>
  <si>
    <t>The Future of Food Initiative</t>
  </si>
  <si>
    <t>2309AF001/LG7</t>
  </si>
  <si>
    <t>RECOVER</t>
  </si>
  <si>
    <t>2309AF002/LG7</t>
  </si>
  <si>
    <t>Network + Cambridge Lead</t>
  </si>
  <si>
    <t>2309AF006/LG7</t>
  </si>
  <si>
    <t>Tropical forests resilience</t>
  </si>
  <si>
    <t>2309CB002/AS11</t>
  </si>
  <si>
    <t>FID Proposal</t>
  </si>
  <si>
    <t>Fund for Innovation in Development</t>
  </si>
  <si>
    <t>FID</t>
  </si>
  <si>
    <t>Gneric</t>
  </si>
  <si>
    <t>Wilson, Charles Prof</t>
  </si>
  <si>
    <t>2310AF001/VS1</t>
  </si>
  <si>
    <t>FULCRUM</t>
  </si>
  <si>
    <t>2310AF002/LG7</t>
  </si>
  <si>
    <t>Integrating finance II</t>
  </si>
  <si>
    <t>Barbosa de Silva, Milton Dr</t>
  </si>
  <si>
    <t>2310AF003/LG7</t>
  </si>
  <si>
    <t>TBC</t>
  </si>
  <si>
    <t>2310AF004/LG7</t>
  </si>
  <si>
    <t>ERC2</t>
  </si>
  <si>
    <t>2310AF005/LG7</t>
  </si>
  <si>
    <t>NERC IRF Yu Mo</t>
  </si>
  <si>
    <t>2310AF009/LG7</t>
  </si>
  <si>
    <t>CoGEN</t>
  </si>
  <si>
    <t>Social Sciences &amp; Humanities Research Council of Canada</t>
  </si>
  <si>
    <t>SSHRC-CA</t>
  </si>
  <si>
    <t>2310B9002/HB3</t>
  </si>
  <si>
    <t>NEWRISK 2</t>
  </si>
  <si>
    <t>Policy Research Programme</t>
  </si>
  <si>
    <t>2311AF003/LG7</t>
  </si>
  <si>
    <t>Sustain-a-bite</t>
  </si>
  <si>
    <t>2311AF004/LG7</t>
  </si>
  <si>
    <t>PLANET</t>
  </si>
  <si>
    <t>BRAND-LEAVER, CHRISTIAN Prof</t>
  </si>
  <si>
    <t>2311AF007/VS1</t>
  </si>
  <si>
    <t>UKERC Phase 5</t>
  </si>
  <si>
    <t>Abebe, Selam Mrs</t>
  </si>
  <si>
    <t>2311LD001/LG7</t>
  </si>
  <si>
    <t>NEW PATHWAYS</t>
  </si>
  <si>
    <t>2312AF001/LG7</t>
  </si>
  <si>
    <t>RE Development Fund</t>
  </si>
  <si>
    <t>Research England</t>
  </si>
  <si>
    <t>RE</t>
  </si>
  <si>
    <t>2312AF003/VS1</t>
  </si>
  <si>
    <t>Allianz Reinsurance Climate</t>
  </si>
  <si>
    <t>Allianz SE Reinsurance</t>
  </si>
  <si>
    <t>ALLIANZ</t>
  </si>
  <si>
    <t>2401AF002/LG7</t>
  </si>
  <si>
    <t>Maximising UK adaptation</t>
  </si>
  <si>
    <t>Fan, Yee Dr</t>
  </si>
  <si>
    <t>2401AF002/VS1</t>
  </si>
  <si>
    <t>GREEN-HAMP</t>
  </si>
  <si>
    <t>Harwood, Thomas Dr</t>
  </si>
  <si>
    <t>2401AF003/LG7</t>
  </si>
  <si>
    <t>EMBRACE</t>
  </si>
  <si>
    <t>2401AF003/VS1</t>
  </si>
  <si>
    <t>Barnes BA Fellowship</t>
  </si>
  <si>
    <t>2401AF004/LG7</t>
  </si>
  <si>
    <t>Nature-3B</t>
  </si>
  <si>
    <t>2401AF006/LG7</t>
  </si>
  <si>
    <t>Strengthening the resilience</t>
  </si>
  <si>
    <t>2401DF013/KW4</t>
  </si>
  <si>
    <t>JED-AI</t>
  </si>
  <si>
    <t>2402DF002/GW11</t>
  </si>
  <si>
    <t>Systems Net Zero</t>
  </si>
  <si>
    <t>2402LE001/DL6</t>
  </si>
  <si>
    <t>Climate impacts</t>
  </si>
  <si>
    <t>Zhang, Huanyuan Mr</t>
  </si>
  <si>
    <t>2403AF001/LG7</t>
  </si>
  <si>
    <t>Leveraging AI to map - 1946</t>
  </si>
  <si>
    <t>British Ecological Society</t>
  </si>
  <si>
    <t>BES</t>
  </si>
  <si>
    <t>2403AF001/VS1</t>
  </si>
  <si>
    <t>Transformative Resilience</t>
  </si>
  <si>
    <t>2403AF002/LG7</t>
  </si>
  <si>
    <t>ADEPT</t>
  </si>
  <si>
    <t>2403AF002/VS1</t>
  </si>
  <si>
    <t>CINCH</t>
  </si>
  <si>
    <t>2403AF003/LG7</t>
  </si>
  <si>
    <t>ECOSYSTEMS</t>
  </si>
  <si>
    <t>Narayan-LEAVER, Uttara Miss</t>
  </si>
  <si>
    <t>2403AF004/VS1</t>
  </si>
  <si>
    <t>CARE</t>
  </si>
  <si>
    <t>2403LD002/AS16</t>
  </si>
  <si>
    <t>TEMPRO</t>
  </si>
  <si>
    <t>Blaxter, Tamsin Dr</t>
  </si>
  <si>
    <t>2404AF001/LG7</t>
  </si>
  <si>
    <t>Perfect pasts, possible future</t>
  </si>
  <si>
    <t>MASLER, KAYA Ms</t>
  </si>
  <si>
    <t>2404AF001/VS1</t>
  </si>
  <si>
    <t>ACCESS</t>
  </si>
  <si>
    <t>2404AF003/LG7</t>
  </si>
  <si>
    <t>Futures of Food</t>
  </si>
  <si>
    <t>DE BERENGUER CESAR, ERIKA Dr</t>
  </si>
  <si>
    <t>2406AF001/LG7</t>
  </si>
  <si>
    <t>Climate-resilient forest</t>
  </si>
  <si>
    <t>2406AF002/LG7</t>
  </si>
  <si>
    <t>Amazon Forest flammability</t>
  </si>
  <si>
    <t>Advanced Research and Invention Agency (ARIA)</t>
  </si>
  <si>
    <t>ARIA</t>
  </si>
  <si>
    <t>2108JQ001/GW1</t>
  </si>
  <si>
    <t>Sites of Being</t>
  </si>
  <si>
    <t>Adam, Zakiyya Dr</t>
  </si>
  <si>
    <t>2302JQ001/GW1</t>
  </si>
  <si>
    <t>VIRTUE</t>
  </si>
  <si>
    <t>Luiu, Carlo Dr</t>
  </si>
  <si>
    <t>2306JQ001/AG8</t>
  </si>
  <si>
    <t>Luiu - New Investigator grant</t>
  </si>
  <si>
    <t>2306JQ002/LG7</t>
  </si>
  <si>
    <t>Twinning Green</t>
  </si>
  <si>
    <t>2309JQ001/LG7</t>
  </si>
  <si>
    <t>MENDING</t>
  </si>
  <si>
    <t>Horizon Europe ERC StG</t>
  </si>
  <si>
    <t>2311JQ002/LG7</t>
  </si>
  <si>
    <t>CORRELATE</t>
  </si>
  <si>
    <t>Budnitz, Hannah Dr</t>
  </si>
  <si>
    <t>2311JQ003/LG7</t>
  </si>
  <si>
    <t>SEMiTaSS</t>
  </si>
  <si>
    <t>2401JQ001/VS1</t>
  </si>
  <si>
    <t>Digitizing Bicycle</t>
  </si>
  <si>
    <t>2402JQ001/VS1</t>
  </si>
  <si>
    <t>Low-carbon Jeepney Transitions</t>
  </si>
  <si>
    <t>2403JQ001/LG7</t>
  </si>
  <si>
    <t>CoMenta LA Mente</t>
  </si>
  <si>
    <t>2404JQ001/EG8</t>
  </si>
  <si>
    <t>QUISEM</t>
  </si>
  <si>
    <t>Department for Transport</t>
  </si>
  <si>
    <t>DFT</t>
  </si>
  <si>
    <t>2404JQ001/VS1</t>
  </si>
  <si>
    <t>Understanding Micromobility</t>
  </si>
  <si>
    <t>AAA Foundation for Traffic Safety</t>
  </si>
  <si>
    <t>AAAFTS</t>
  </si>
  <si>
    <t>2406DF005/SH14</t>
  </si>
  <si>
    <t>UK-R2C2</t>
  </si>
  <si>
    <t>2407JQ001/VS1</t>
  </si>
  <si>
    <t>Measuring Disability</t>
  </si>
  <si>
    <t>2303LD005/IP1</t>
  </si>
  <si>
    <t>SLP_Climate Science in Court</t>
  </si>
  <si>
    <t>2306LD007/AS16</t>
  </si>
  <si>
    <t>State of CDR report v2</t>
  </si>
  <si>
    <t>2307LD002/JH13</t>
  </si>
  <si>
    <t>OXSFI-SED</t>
  </si>
  <si>
    <t>Stichting SED Fund</t>
  </si>
  <si>
    <t>SEDFUND</t>
  </si>
  <si>
    <t>2308LD001/JH13</t>
  </si>
  <si>
    <t>Sunrise 2023-24</t>
  </si>
  <si>
    <t>Sunrise Project Australia Limited</t>
  </si>
  <si>
    <t>SUNRISE</t>
  </si>
  <si>
    <t>Farmer, Doyne</t>
  </si>
  <si>
    <t>2308LD002/AS16</t>
  </si>
  <si>
    <t>IMPACTSIM</t>
  </si>
  <si>
    <t>2309DC001/BE2</t>
  </si>
  <si>
    <t>Palofax-Alcantar, Giovani</t>
  </si>
  <si>
    <t>2309DF001/CH12</t>
  </si>
  <si>
    <t>V-COOLPath</t>
  </si>
  <si>
    <t>2309DF003/MM13</t>
  </si>
  <si>
    <t>Free-Cooling 2</t>
  </si>
  <si>
    <t>2310LD004/AS16</t>
  </si>
  <si>
    <t>Research Fellowship</t>
  </si>
  <si>
    <t>MCELROY, CAITLIN Dr</t>
  </si>
  <si>
    <t>2311BL005/DH10</t>
  </si>
  <si>
    <t>IDEAL</t>
  </si>
  <si>
    <t>2312LD001/LG7</t>
  </si>
  <si>
    <t>Forests for resilience</t>
  </si>
  <si>
    <t>2312LD003/VS1</t>
  </si>
  <si>
    <t>Net Zero Tracker 2024</t>
  </si>
  <si>
    <t>Morsing, Mette Prof</t>
  </si>
  <si>
    <t>2401CB001/EH4</t>
  </si>
  <si>
    <t>WRAP collaboration</t>
  </si>
  <si>
    <t>Kemp, Jordan Dr</t>
  </si>
  <si>
    <t>2401LD001/AS16</t>
  </si>
  <si>
    <t>Career Dev Fellowship</t>
  </si>
  <si>
    <t>XXCareer Development Fellowship</t>
  </si>
  <si>
    <t>2401LD001/IP1</t>
  </si>
  <si>
    <t>SLP_Wellcome_Attriverse</t>
  </si>
  <si>
    <t>2401LD002/VS1</t>
  </si>
  <si>
    <t>Empowering extension services</t>
  </si>
  <si>
    <t>Gates Foundation</t>
  </si>
  <si>
    <t>GATES</t>
  </si>
  <si>
    <t>2402LD001/JH13</t>
  </si>
  <si>
    <t>ISFP Hewlett</t>
  </si>
  <si>
    <t>William and Flora Hewlett Foundation</t>
  </si>
  <si>
    <t>HEWLETTF</t>
  </si>
  <si>
    <t>2402LD002/JH13</t>
  </si>
  <si>
    <t>EO-ESA</t>
  </si>
  <si>
    <t>2403HJ001/KN2</t>
  </si>
  <si>
    <t>NetZeroHealth Hub</t>
  </si>
  <si>
    <t>2404LD001/JH13</t>
  </si>
  <si>
    <t>Valuing water</t>
  </si>
  <si>
    <t>Burke-LEAVER, Matthew Dr</t>
  </si>
  <si>
    <t>2404LD006/AS16</t>
  </si>
  <si>
    <t>Panmure House Prize</t>
  </si>
  <si>
    <t>Baillie Gifford &amp; Co</t>
  </si>
  <si>
    <t>BAILGIFF</t>
  </si>
  <si>
    <t>Sheikh, Hassan Mr</t>
  </si>
  <si>
    <t>2405LD001/VS1</t>
  </si>
  <si>
    <t>Stacked health benefits nature</t>
  </si>
  <si>
    <t>HOQUE, SONIA Dr</t>
  </si>
  <si>
    <t>2405LD002/VS1</t>
  </si>
  <si>
    <t>Water Salinity in Bangladesh</t>
  </si>
  <si>
    <t>2407LD003/AS16</t>
  </si>
  <si>
    <t>Stripe Climate Fellowship</t>
  </si>
  <si>
    <t>Stripe Inc</t>
  </si>
  <si>
    <t>STRIPE</t>
  </si>
  <si>
    <t>2310AC005/VS1</t>
  </si>
  <si>
    <t>The recovery of forest complex</t>
  </si>
  <si>
    <t>FY 2425</t>
  </si>
  <si>
    <t>2402AC003/VS1</t>
  </si>
  <si>
    <t>LIFEFLUX</t>
  </si>
  <si>
    <t>2404AC001/AG8</t>
  </si>
  <si>
    <t>SMART-HS</t>
  </si>
  <si>
    <t>2407AC001/LG7</t>
  </si>
  <si>
    <t>climate change cardiometabolic</t>
  </si>
  <si>
    <t>2407AC003/LG7</t>
  </si>
  <si>
    <t>Heat Stress &amp; Disease</t>
  </si>
  <si>
    <t>Zilli, Marcia Dr</t>
  </si>
  <si>
    <t>2407AC004/LG7</t>
  </si>
  <si>
    <t>New CSSP-Brazil</t>
  </si>
  <si>
    <t>Department for Science, Innovation and Technology</t>
  </si>
  <si>
    <t>DSIT</t>
  </si>
  <si>
    <t>2407AC005/VS1</t>
  </si>
  <si>
    <t>MSCA-RS</t>
  </si>
  <si>
    <t>2407AC006/VS1</t>
  </si>
  <si>
    <t>MorphoForest</t>
  </si>
  <si>
    <t>2407AC007/VS1</t>
  </si>
  <si>
    <t>EnergStruct</t>
  </si>
  <si>
    <t>2408AC001/VS1</t>
  </si>
  <si>
    <t>Energetics</t>
  </si>
  <si>
    <t>MCCONNELL, FIONA Prof</t>
  </si>
  <si>
    <t>2408AC002/LG7</t>
  </si>
  <si>
    <t>DESERTMOTION</t>
  </si>
  <si>
    <t>Azzouz, Ammar Dr</t>
  </si>
  <si>
    <t>2408AC002/VS1</t>
  </si>
  <si>
    <t>ROW</t>
  </si>
  <si>
    <t>2408AC003/LG7</t>
  </si>
  <si>
    <t>SXNCH</t>
  </si>
  <si>
    <t>2408AC004/VS1</t>
  </si>
  <si>
    <t>DYNAMIC-RECOVER</t>
  </si>
  <si>
    <t>2408DF002/GA3</t>
  </si>
  <si>
    <t>Working with centres - DeFraCt</t>
  </si>
  <si>
    <t>Managed Call / Special Opportunity v3</t>
  </si>
  <si>
    <t>2409AC001/VS1</t>
  </si>
  <si>
    <t>Burden and Disease Ecology</t>
  </si>
  <si>
    <t>National Institutes of Health USA</t>
  </si>
  <si>
    <t>NIH</t>
  </si>
  <si>
    <t>Miscellaneous research grants v5</t>
  </si>
  <si>
    <t>2409AC004/HB6</t>
  </si>
  <si>
    <t>Domestication Of Vaccination</t>
  </si>
  <si>
    <t>Discovery Awards</t>
  </si>
  <si>
    <t>2410AC002/VS1</t>
  </si>
  <si>
    <t>Co-curating an ‘Archive of</t>
  </si>
  <si>
    <t>Porges-LEAVER, Matthew Dr</t>
  </si>
  <si>
    <t>2410AC003/VS1</t>
  </si>
  <si>
    <t>INMOFTAC</t>
  </si>
  <si>
    <t>2410AC004/HB6</t>
  </si>
  <si>
    <t>BA Visiting Fellowship</t>
  </si>
  <si>
    <t>2410AC005/HB6</t>
  </si>
  <si>
    <t>SIMSCALE</t>
  </si>
  <si>
    <t>2410AC005/VS1</t>
  </si>
  <si>
    <t>What’s your beef?</t>
  </si>
  <si>
    <t>Research Fellowships v5</t>
  </si>
  <si>
    <t>Rodríguez-Uña, Asun</t>
  </si>
  <si>
    <t>2410AC006/VS1</t>
  </si>
  <si>
    <t>Improving the long-term</t>
  </si>
  <si>
    <t>XXDorothy Hodgkin Fellowship Grant v3</t>
  </si>
  <si>
    <t>2410AC007/VS1</t>
  </si>
  <si>
    <t>DRIFT</t>
  </si>
  <si>
    <t>COOMBES, MARTIN Dr</t>
  </si>
  <si>
    <t>2410HQ012/PC5</t>
  </si>
  <si>
    <t>MicrObs</t>
  </si>
  <si>
    <t>2411AC001/GB5</t>
  </si>
  <si>
    <t>Compound climate hazards</t>
  </si>
  <si>
    <t>2411AC001/HB6</t>
  </si>
  <si>
    <t>Reconnecting Seascapes</t>
  </si>
  <si>
    <t>2501AC001/VS1</t>
  </si>
  <si>
    <t>Harnessing island-ocean connec</t>
  </si>
  <si>
    <t>XXFaraday Discovery Fellowship</t>
  </si>
  <si>
    <t>Hamper, Josie Dr</t>
  </si>
  <si>
    <t>2501AC002/HB6</t>
  </si>
  <si>
    <t>Gestational Diabetes</t>
  </si>
  <si>
    <t>2501AC003/VS1</t>
  </si>
  <si>
    <t>JRACCH</t>
  </si>
  <si>
    <t>Liu-LEAVER, Yinxue Miss</t>
  </si>
  <si>
    <t>2501AC007/VS1</t>
  </si>
  <si>
    <t>Blame the river or the rain</t>
  </si>
  <si>
    <t>Unnithan Kumar, Siddharth</t>
  </si>
  <si>
    <t>2501AC008/VS1</t>
  </si>
  <si>
    <t>Crafting mathematics as an eco</t>
  </si>
  <si>
    <t>Engert, Jayden</t>
  </si>
  <si>
    <t>2502AC002/HB6</t>
  </si>
  <si>
    <t>Quantifying spatiotemporal</t>
  </si>
  <si>
    <t>Liu, Jianxiao Dr</t>
  </si>
  <si>
    <t>2502AC003/HB6</t>
  </si>
  <si>
    <t>Canine Citizenship BA</t>
  </si>
  <si>
    <t>International Fellowships</t>
  </si>
  <si>
    <t>Singh, Renu</t>
  </si>
  <si>
    <t>2502AC004/VS1</t>
  </si>
  <si>
    <t>Moving Up and On</t>
  </si>
  <si>
    <t>GRECKSCH, KEVIN Dr</t>
  </si>
  <si>
    <t>2502AC006/VS1</t>
  </si>
  <si>
    <t>DISSECT</t>
  </si>
  <si>
    <t>Research Council of Norway</t>
  </si>
  <si>
    <t>RC-NO</t>
  </si>
  <si>
    <t>Smyth, Lucy</t>
  </si>
  <si>
    <t>2503AC001/HB6</t>
  </si>
  <si>
    <t>Newton Int Fellow</t>
  </si>
  <si>
    <t>Myat, Su Su</t>
  </si>
  <si>
    <t>2503AC001/VS1</t>
  </si>
  <si>
    <t>The Politics of Urban Digital</t>
  </si>
  <si>
    <t>Naseef S A, Abdulla Dr</t>
  </si>
  <si>
    <t>2503AC002/HB6</t>
  </si>
  <si>
    <t>Hotspots Under Heat</t>
  </si>
  <si>
    <t>Mariyam, Dincy</t>
  </si>
  <si>
    <t>2503AC002/VS1</t>
  </si>
  <si>
    <t>Can Tourism Inspire</t>
  </si>
  <si>
    <t>2503AC004/HB6</t>
  </si>
  <si>
    <t>Physical drivers of drought</t>
  </si>
  <si>
    <t>2503AC006/HB6</t>
  </si>
  <si>
    <t>Yr 2-3: BZL25_2.1</t>
  </si>
  <si>
    <t>WIGGS, GILES Prof</t>
  </si>
  <si>
    <t>2504AC005/VS1</t>
  </si>
  <si>
    <t>HARE</t>
  </si>
  <si>
    <t>Urgency Application v2</t>
  </si>
  <si>
    <t>2504CV005/JL6</t>
  </si>
  <si>
    <t>Climate Impact</t>
  </si>
  <si>
    <t>THALER, GREGORY Dr</t>
  </si>
  <si>
    <t>2505AC001/GB5</t>
  </si>
  <si>
    <t>GT_LT_PLP_May 2025</t>
  </si>
  <si>
    <t>Richards, Jennifer Dr</t>
  </si>
  <si>
    <t>2505AC002/GB5</t>
  </si>
  <si>
    <t>HeritageClimates</t>
  </si>
  <si>
    <t>2505AC002/HB6</t>
  </si>
  <si>
    <t>Rice paddy phenology</t>
  </si>
  <si>
    <t>MUNDAY, CALLUM Mr</t>
  </si>
  <si>
    <t>2505AC003/GB5</t>
  </si>
  <si>
    <t>DEMO-K</t>
  </si>
  <si>
    <t>2505AC005/VS1</t>
  </si>
  <si>
    <t>Measuring the recovery</t>
  </si>
  <si>
    <t>2505CB001/GS3</t>
  </si>
  <si>
    <t>Noisy_Savanna</t>
  </si>
  <si>
    <t>Brito Dias, Viviane</t>
  </si>
  <si>
    <t>2506AC001/VS1</t>
  </si>
  <si>
    <t>Linking functional diversity</t>
  </si>
  <si>
    <t>European Molecular Biology Organisation (EMBO)</t>
  </si>
  <si>
    <t>EMBO</t>
  </si>
  <si>
    <t>Anderson, Bailey Dr</t>
  </si>
  <si>
    <t>2507AC001/HB6</t>
  </si>
  <si>
    <t>UKRI Policy Fellowships</t>
  </si>
  <si>
    <t>2405CB001/GR3</t>
  </si>
  <si>
    <t>EO for Nature Finance</t>
  </si>
  <si>
    <t>2405LD002/AS16</t>
  </si>
  <si>
    <t>FCDO Private Financing LMICs</t>
  </si>
  <si>
    <t>2408AF003/AG8</t>
  </si>
  <si>
    <t>Insights for Public Health</t>
  </si>
  <si>
    <t>2408AF003/LG7</t>
  </si>
  <si>
    <t>INCA-IP</t>
  </si>
  <si>
    <t>Norges Bank Investment Management</t>
  </si>
  <si>
    <t>NBIM</t>
  </si>
  <si>
    <t>2408AF004/LG7</t>
  </si>
  <si>
    <t>REGEN</t>
  </si>
  <si>
    <t>2408AF005/LG7</t>
  </si>
  <si>
    <t>SME Resilience Ukraine</t>
  </si>
  <si>
    <t>2408AF006/AG8</t>
  </si>
  <si>
    <t>REACT</t>
  </si>
  <si>
    <t>2408AF006/LG7</t>
  </si>
  <si>
    <t>RE-LIGHT</t>
  </si>
  <si>
    <t>2408BL003/ED2</t>
  </si>
  <si>
    <t>DART</t>
  </si>
  <si>
    <t>2408EP005/CP4</t>
  </si>
  <si>
    <t>Robson UKRI BBSRC Aug24</t>
  </si>
  <si>
    <t>2408VG007/JX1</t>
  </si>
  <si>
    <t>BREATHE</t>
  </si>
  <si>
    <t>JENKINS, STUART Mr</t>
  </si>
  <si>
    <t>2409AF001/LG7</t>
  </si>
  <si>
    <t>Aligning the Finance Sector</t>
  </si>
  <si>
    <t>Turnbull-LEAVER, Jonathon Dr</t>
  </si>
  <si>
    <t>2409AF001/VS1</t>
  </si>
  <si>
    <t>Nightlife</t>
  </si>
  <si>
    <t>2409AF002/HB6</t>
  </si>
  <si>
    <t>Tropical Forests</t>
  </si>
  <si>
    <t>Vrain, Emilie Dr</t>
  </si>
  <si>
    <t>2409AF003/LG7</t>
  </si>
  <si>
    <t>Tech Lifestyle Sustainability</t>
  </si>
  <si>
    <t>Swiss National Science Foundation</t>
  </si>
  <si>
    <t>SNSF</t>
  </si>
  <si>
    <t>2409AF006/LG7</t>
  </si>
  <si>
    <t>BuSCHE</t>
  </si>
  <si>
    <t>GASPAR VERISSIMO, DIOGO Dr</t>
  </si>
  <si>
    <t>2410AF003/VS1</t>
  </si>
  <si>
    <t>nature documentaries</t>
  </si>
  <si>
    <t>Standard Grant/Early Career Research Grant v2</t>
  </si>
  <si>
    <t>2410AF009/VS1</t>
  </si>
  <si>
    <t>2410AF010/VS1</t>
  </si>
  <si>
    <t>Leveraging AI</t>
  </si>
  <si>
    <t>BA/Leverhulme Small Research Grants v3</t>
  </si>
  <si>
    <t>2410AF011/VS1</t>
  </si>
  <si>
    <t>STEP FORWARD</t>
  </si>
  <si>
    <t>Askehave Climate Foundation</t>
  </si>
  <si>
    <t>ASKEHAVE</t>
  </si>
  <si>
    <t>2411AF013/HB6</t>
  </si>
  <si>
    <t>SME decarbonization</t>
  </si>
  <si>
    <t>2412AF002/VS1</t>
  </si>
  <si>
    <t>ADAPTA</t>
  </si>
  <si>
    <t>H2020 ERC CoG v3</t>
  </si>
  <si>
    <t>2412BZ001/AMF1</t>
  </si>
  <si>
    <t>TraumaHeat</t>
  </si>
  <si>
    <t>2501AF002/HB6</t>
  </si>
  <si>
    <t>Geospatial Analysis Mauritius</t>
  </si>
  <si>
    <t>2501AF003/HB6</t>
  </si>
  <si>
    <t>STEEP</t>
  </si>
  <si>
    <t>Lumma, Johannes Dr</t>
  </si>
  <si>
    <t>2501AF006/HB6</t>
  </si>
  <si>
    <t>2501AF007/VS1</t>
  </si>
  <si>
    <t>Nightlife in the more-than-hum</t>
  </si>
  <si>
    <t>Suliman, Amr Mr</t>
  </si>
  <si>
    <t>2501DF006/KW4</t>
  </si>
  <si>
    <t>OCEMS</t>
  </si>
  <si>
    <t>2501M3001/NM9</t>
  </si>
  <si>
    <t>Fairmade Cocoa</t>
  </si>
  <si>
    <t>Headings, Rachel Ms</t>
  </si>
  <si>
    <t>2502AF001/HB6</t>
  </si>
  <si>
    <t>Future of Food</t>
  </si>
  <si>
    <t>Gaytan Camarillo, Mariana Mrs</t>
  </si>
  <si>
    <t>2503AF001/GB5</t>
  </si>
  <si>
    <t>Understanding Willingness</t>
  </si>
  <si>
    <t>Aparecida Maia, Renata</t>
  </si>
  <si>
    <t>2503AF001/VS1</t>
  </si>
  <si>
    <t>Critical stress limits of trop</t>
  </si>
  <si>
    <t>2503AF002/HB6</t>
  </si>
  <si>
    <t>HFHP</t>
  </si>
  <si>
    <t>Healthy Food Healthy Planet</t>
  </si>
  <si>
    <t>2503AF004/VS1</t>
  </si>
  <si>
    <t>Enhancing Ecosystem Climate</t>
  </si>
  <si>
    <t>International Collaboration Awards</t>
  </si>
  <si>
    <t>2503AF005/VS1</t>
  </si>
  <si>
    <t>Time will tell</t>
  </si>
  <si>
    <t>2503AF008/VS1</t>
  </si>
  <si>
    <t>MiCEP</t>
  </si>
  <si>
    <t>2503LD003/AN7</t>
  </si>
  <si>
    <t>MH</t>
  </si>
  <si>
    <t>2504AF001/VS1</t>
  </si>
  <si>
    <t>Investigating citizens' agency</t>
  </si>
  <si>
    <t>2504AF003/VS1</t>
  </si>
  <si>
    <t>CACHE</t>
  </si>
  <si>
    <t>2504AF004/VS1</t>
  </si>
  <si>
    <t>TRACE</t>
  </si>
  <si>
    <t>Li, Yue Miss</t>
  </si>
  <si>
    <t>2504AF007/HB6</t>
  </si>
  <si>
    <t>Modelling the system-scale</t>
  </si>
  <si>
    <t>2505AF005/VS1</t>
  </si>
  <si>
    <t>Beyond the Lab: Public</t>
  </si>
  <si>
    <t>Colossal Biosciences Inc.</t>
  </si>
  <si>
    <t>COBIOSCI</t>
  </si>
  <si>
    <t>2505AF008/VS1</t>
  </si>
  <si>
    <t>CUT</t>
  </si>
  <si>
    <t>2506AF001/HB6</t>
  </si>
  <si>
    <t>SAERCH</t>
  </si>
  <si>
    <t>2506AF003/HB6</t>
  </si>
  <si>
    <t>Local wind-speed simulation</t>
  </si>
  <si>
    <t>Lloyd’s of London Foundation</t>
  </si>
  <si>
    <t>LOLFOUND</t>
  </si>
  <si>
    <t>Midlen, Alex</t>
  </si>
  <si>
    <t>2506AF007/VS1</t>
  </si>
  <si>
    <t>A Blue Œconomy for sustainable</t>
  </si>
  <si>
    <t>2405JQ001/LG7</t>
  </si>
  <si>
    <t>POL2GO</t>
  </si>
  <si>
    <t>Montoya-Robledo, Valentina Dr</t>
  </si>
  <si>
    <t>2406JQ001/VS1</t>
  </si>
  <si>
    <t>Normalising Walking in Johan</t>
  </si>
  <si>
    <t>Volvo Research and Educational Foundations</t>
  </si>
  <si>
    <t>VREF</t>
  </si>
  <si>
    <t>2408JQ001/VS1</t>
  </si>
  <si>
    <t>Politics of Just Transitions</t>
  </si>
  <si>
    <t>2408JQ003/VS1</t>
  </si>
  <si>
    <t>POINT</t>
  </si>
  <si>
    <t>2409JQ001/HB6</t>
  </si>
  <si>
    <t>CAMINUP</t>
  </si>
  <si>
    <t>2409JQ001/VS1</t>
  </si>
  <si>
    <t>Safe-SEND</t>
  </si>
  <si>
    <t>Road Safety Trust</t>
  </si>
  <si>
    <t>ROADSAFE</t>
  </si>
  <si>
    <t>Boateng, Festival Dr</t>
  </si>
  <si>
    <t>2410JQ002/VS1</t>
  </si>
  <si>
    <t>SERVICE</t>
  </si>
  <si>
    <t>2411JQ001/VS1</t>
  </si>
  <si>
    <t>MOMWORK</t>
  </si>
  <si>
    <t>2501JQ001/VS1</t>
  </si>
  <si>
    <t>Strengthening Public Transport</t>
  </si>
  <si>
    <t>2503JQ001/VS1</t>
  </si>
  <si>
    <t>Precarious Job</t>
  </si>
  <si>
    <t>2401LE003/DL6</t>
  </si>
  <si>
    <t>Net Zero IKEA 2</t>
  </si>
  <si>
    <t>2408LD001/JH13</t>
  </si>
  <si>
    <t>OXSFI II</t>
  </si>
  <si>
    <t>2408LD003/AS16</t>
  </si>
  <si>
    <t>Core and ONZ teams</t>
  </si>
  <si>
    <t>2408LD005/AS16</t>
  </si>
  <si>
    <t>State of CDR report</t>
  </si>
  <si>
    <t>2409LD001/AS16</t>
  </si>
  <si>
    <t>Universities Driving Africa’s</t>
  </si>
  <si>
    <t>2409LD001/IP1</t>
  </si>
  <si>
    <t>SLP_QCF_Da Vinci</t>
  </si>
  <si>
    <t>2409LD001/VS1</t>
  </si>
  <si>
    <t>DengueCARE</t>
  </si>
  <si>
    <t>Medical Research Foundation</t>
  </si>
  <si>
    <t>MEDRESF</t>
  </si>
  <si>
    <t>SCHUMACHER-LEAVER, JACOB Dr</t>
  </si>
  <si>
    <t>2409LD002/VS1</t>
  </si>
  <si>
    <t>IntlPolEconClimChng</t>
  </si>
  <si>
    <t>2410LD002/VS1</t>
  </si>
  <si>
    <t>Africa Transition Initiative</t>
  </si>
  <si>
    <t>2411LD004/BDW1</t>
  </si>
  <si>
    <t>ElectroDACCS</t>
  </si>
  <si>
    <t>2411LD007/BDW1</t>
  </si>
  <si>
    <t>Jacob Schumacher BA FCDO</t>
  </si>
  <si>
    <t>Cohen, Francois</t>
  </si>
  <si>
    <t>McGivern, Alexis Ms</t>
  </si>
  <si>
    <t>2412LD002/BDW1</t>
  </si>
  <si>
    <t>Serviced Emissions</t>
  </si>
  <si>
    <t>Maalouf, Amani Dr</t>
  </si>
  <si>
    <t>2501LD001/PS8</t>
  </si>
  <si>
    <t>World Risk Poll - Waste</t>
  </si>
  <si>
    <t>Lloyds Register Foundation</t>
  </si>
  <si>
    <t>LLOYDREG</t>
  </si>
  <si>
    <t>2502LD001/VS1</t>
  </si>
  <si>
    <t>Driving impacts through scienc</t>
  </si>
  <si>
    <t>Funke, Franziska Dr</t>
  </si>
  <si>
    <t>2502LD002/HB6</t>
  </si>
  <si>
    <t>Ready to switch?</t>
  </si>
  <si>
    <t>2503DF004/JRG2</t>
  </si>
  <si>
    <t>Recycling Capabilities</t>
  </si>
  <si>
    <t>LAFOND, FRANCOIS Dr</t>
  </si>
  <si>
    <t>2503LD001/HB6</t>
  </si>
  <si>
    <t>Full Application: EPSRC</t>
  </si>
  <si>
    <t>2503LD001/VS1</t>
  </si>
  <si>
    <t>Unravelling Hydroclimate Extre</t>
  </si>
  <si>
    <t>2503LD003/VS1</t>
  </si>
  <si>
    <t>CDR SUPPORT</t>
  </si>
  <si>
    <t>2506LD001/BDW1</t>
  </si>
  <si>
    <t>MCF-Mike</t>
  </si>
  <si>
    <t>2507LD001/VS1</t>
  </si>
  <si>
    <t>Lived experiences of water</t>
  </si>
  <si>
    <t>Accelerator Award</t>
  </si>
  <si>
    <t>2505AC001/HB6</t>
  </si>
  <si>
    <t>Seascape restoration</t>
  </si>
  <si>
    <t>FYTD 2526</t>
  </si>
  <si>
    <t>2507AC002/HB6</t>
  </si>
  <si>
    <t>FLUID-EARTH</t>
  </si>
  <si>
    <t>2507AC002/VS1</t>
  </si>
  <si>
    <t>RECOARC</t>
  </si>
  <si>
    <t>2507AC003/VS1</t>
  </si>
  <si>
    <t>Masked mobilities</t>
  </si>
  <si>
    <t>Dodsworth, Jennifer Miss</t>
  </si>
  <si>
    <t>2507AC004/VS1</t>
  </si>
  <si>
    <t>Innovation Fellowships 2025-26</t>
  </si>
  <si>
    <t>2507AC005/VS1</t>
  </si>
  <si>
    <t>Urban Digital Visions</t>
  </si>
  <si>
    <t>2507DC002/ND3</t>
  </si>
  <si>
    <t>COFFEE</t>
  </si>
  <si>
    <t>2508AC001/GB5</t>
  </si>
  <si>
    <t>As Smooth As Grit</t>
  </si>
  <si>
    <t>2508AC001/MO2</t>
  </si>
  <si>
    <t>iFLUSH</t>
  </si>
  <si>
    <t>2508AC001/VS1</t>
  </si>
  <si>
    <t>JUST-WALK</t>
  </si>
  <si>
    <t>2508AC002/MO2</t>
  </si>
  <si>
    <t>DRILL</t>
  </si>
  <si>
    <t>2508AC002/VS1</t>
  </si>
  <si>
    <t>2508AC003/MO2</t>
  </si>
  <si>
    <t>Localizing Knowledge</t>
  </si>
  <si>
    <t>2508AC003/VS1</t>
  </si>
  <si>
    <t>TREECHARMS</t>
  </si>
  <si>
    <t>2508AC004/MO2</t>
  </si>
  <si>
    <t>CanisCity</t>
  </si>
  <si>
    <t>2508AC004/VS1</t>
  </si>
  <si>
    <t>VILUNVERI</t>
  </si>
  <si>
    <t>2508AC006/VS1</t>
  </si>
  <si>
    <t>ANIMAL- CNP</t>
  </si>
  <si>
    <t>2508AC007/VS1</t>
  </si>
  <si>
    <t>2508AC009/VS1</t>
  </si>
  <si>
    <t>RS-2025</t>
  </si>
  <si>
    <t>2508BZ004/NH5</t>
  </si>
  <si>
    <t>Healthy and Sustainable Diets</t>
  </si>
  <si>
    <t>Chellaram Foundation</t>
  </si>
  <si>
    <t>CHELL</t>
  </si>
  <si>
    <t>Jokela Pansini, Maaret</t>
  </si>
  <si>
    <t>2509AC003/VS1</t>
  </si>
  <si>
    <t>VISIONS</t>
  </si>
  <si>
    <t>Cusworth, George</t>
  </si>
  <si>
    <t>2509AC004/VS1</t>
  </si>
  <si>
    <t>SOILCOIN</t>
  </si>
  <si>
    <t>2509AC010/VS1</t>
  </si>
  <si>
    <t>ORONTES</t>
  </si>
  <si>
    <t>2510AC002/GB5</t>
  </si>
  <si>
    <t>MOAP 2025</t>
  </si>
  <si>
    <t>2510AC005/MO2</t>
  </si>
  <si>
    <t>EARTHFLOW-AI</t>
  </si>
  <si>
    <t>2511AC002/EL3</t>
  </si>
  <si>
    <t>NK Colt Foundation</t>
  </si>
  <si>
    <t>Colt Foundation</t>
  </si>
  <si>
    <t>COLT</t>
  </si>
  <si>
    <t>WALLUM, Natasha Miss</t>
  </si>
  <si>
    <t>2511AC003/MO2</t>
  </si>
  <si>
    <t>Hunting Hidden Dust</t>
  </si>
  <si>
    <t>Royal Geographical Society</t>
  </si>
  <si>
    <t>RGS</t>
  </si>
  <si>
    <t>Moore, Nathan Dr</t>
  </si>
  <si>
    <t>2511AC006/EL3</t>
  </si>
  <si>
    <t>NM RS CDF</t>
  </si>
  <si>
    <t>Career Development Fellowship v2</t>
  </si>
  <si>
    <t>2501AF002/VS1</t>
  </si>
  <si>
    <t>COABIT</t>
  </si>
  <si>
    <t>2503M3005/FT2</t>
  </si>
  <si>
    <t>ULLRA</t>
  </si>
  <si>
    <t>Large Grants v2</t>
  </si>
  <si>
    <t>2507AF001/GB5</t>
  </si>
  <si>
    <t>IMPACTS</t>
  </si>
  <si>
    <t>2507AF001/HB6</t>
  </si>
  <si>
    <t>TABLE Laudes Foundation</t>
  </si>
  <si>
    <t>Laudes Foundation</t>
  </si>
  <si>
    <t>LF</t>
  </si>
  <si>
    <t>2507AF002/HB6</t>
  </si>
  <si>
    <t>The MATRIX Project</t>
  </si>
  <si>
    <t>Schmidt Sciences, LLC</t>
  </si>
  <si>
    <t>SCHSCI</t>
  </si>
  <si>
    <t>Chang, Yuyang</t>
  </si>
  <si>
    <t>2507AF003/HB6</t>
  </si>
  <si>
    <t>Urban green infrastructure</t>
  </si>
  <si>
    <t>2507AF003/VS1</t>
  </si>
  <si>
    <t>Pathways to Flexibility</t>
  </si>
  <si>
    <t>Zhang, Jing Dr</t>
  </si>
  <si>
    <t>2507AF004/VS1</t>
  </si>
  <si>
    <t>Unlocking the Potentiall</t>
  </si>
  <si>
    <t>Hafferty, Caitlin Dr</t>
  </si>
  <si>
    <t>2507AF006/VS1</t>
  </si>
  <si>
    <t>2507AF007/VS1</t>
  </si>
  <si>
    <t>Why We Love (Some) Wildlife</t>
  </si>
  <si>
    <t>2508AF001/MO2</t>
  </si>
  <si>
    <t>INFRANEX-BR</t>
  </si>
  <si>
    <t>2508AF002/VS1</t>
  </si>
  <si>
    <t>CIAWI</t>
  </si>
  <si>
    <t>Seenath, Avidesh Dr</t>
  </si>
  <si>
    <t>2508AF003/VS1</t>
  </si>
  <si>
    <t>FITShore</t>
  </si>
  <si>
    <t>2508AF004/VS1</t>
  </si>
  <si>
    <t>Linking geospatial energy</t>
  </si>
  <si>
    <t>2508AF005/VS1</t>
  </si>
  <si>
    <t>Antarctic Tourism</t>
  </si>
  <si>
    <t>2508AF006/VS1</t>
  </si>
  <si>
    <t>Energy security indicator</t>
  </si>
  <si>
    <t>2508AF007/VS1</t>
  </si>
  <si>
    <t>UrbanWild</t>
  </si>
  <si>
    <t>2508AF008/VS1</t>
  </si>
  <si>
    <t>ThresTrop</t>
  </si>
  <si>
    <t>2508AF009/VS1</t>
  </si>
  <si>
    <t>FUNDIEFLOW</t>
  </si>
  <si>
    <t>Walsh, Tristram Mr</t>
  </si>
  <si>
    <t>2509AF001/EL3</t>
  </si>
  <si>
    <t>TW Leeds RFP ECMWF 25</t>
  </si>
  <si>
    <t>European Centre for Medium Range Weather Forecasts</t>
  </si>
  <si>
    <t>ECMWF</t>
  </si>
  <si>
    <t>Bennett, Aoife Dr</t>
  </si>
  <si>
    <t>2509AF001/GB5</t>
  </si>
  <si>
    <t>Reverse Gaze</t>
  </si>
  <si>
    <t>British Council</t>
  </si>
  <si>
    <t>BC</t>
  </si>
  <si>
    <t>2509AF003/VS1</t>
  </si>
  <si>
    <t>MakeJust</t>
  </si>
  <si>
    <t>2509AF004/VS1</t>
  </si>
  <si>
    <t>Resilience-aware electrificati</t>
  </si>
  <si>
    <t>FORMAS</t>
  </si>
  <si>
    <t>2509PS003/IG2</t>
  </si>
  <si>
    <t>Genomic intervention GENIE-AFR</t>
  </si>
  <si>
    <t>2510AC003/MO2</t>
  </si>
  <si>
    <t>REFRI</t>
  </si>
  <si>
    <t>2510AF001/MO2</t>
  </si>
  <si>
    <t>MVUA</t>
  </si>
  <si>
    <t>2510AF002/MO2</t>
  </si>
  <si>
    <t>Protein portfolio</t>
  </si>
  <si>
    <t>2510AF004/EL3</t>
  </si>
  <si>
    <t>YF NetDRIVE REACT</t>
  </si>
  <si>
    <t>2511AF003/EL3</t>
  </si>
  <si>
    <t>MOSAICK</t>
  </si>
  <si>
    <t>2511AF003/MO2</t>
  </si>
  <si>
    <t>SABLE</t>
  </si>
  <si>
    <t>2511PS006/EM8</t>
  </si>
  <si>
    <t>FCDO MHRN</t>
  </si>
  <si>
    <t>2508JQ003/VS1</t>
  </si>
  <si>
    <t>WITS</t>
  </si>
  <si>
    <t>ORJUELA MENDOZA, JUAN Dr</t>
  </si>
  <si>
    <t>2509JQ001/VS1</t>
  </si>
  <si>
    <t>PrepAIRed</t>
  </si>
  <si>
    <t>2507LD006/JH13</t>
  </si>
  <si>
    <t>HayStack</t>
  </si>
  <si>
    <t>Austrian Research Promotion Agency (FFG)</t>
  </si>
  <si>
    <t>FFG-AT</t>
  </si>
  <si>
    <t>LUCEY, JENNIFER Dr</t>
  </si>
  <si>
    <t>2508LD001/MO2</t>
  </si>
  <si>
    <t>BIOPROWEED</t>
  </si>
  <si>
    <t>2508LD001/VS1</t>
  </si>
  <si>
    <t>Equity and Justice</t>
  </si>
  <si>
    <t>2508LD005/BDW1</t>
  </si>
  <si>
    <t>Dynamic modelling of a nationa</t>
  </si>
  <si>
    <t>University Research Fellowship Grant (v5)</t>
  </si>
  <si>
    <t>2509AE006/HP2</t>
  </si>
  <si>
    <t>DEEP TRAP</t>
  </si>
  <si>
    <t>2509DF003/LB7</t>
  </si>
  <si>
    <t>ADVICE -  Nature Call</t>
  </si>
  <si>
    <t>2509LD001/VS1</t>
  </si>
  <si>
    <t>Climate Forecasting, Adaptatio</t>
  </si>
  <si>
    <t>SEDDON, NATHALIE Prof</t>
  </si>
  <si>
    <t>2510LD003/MO2</t>
  </si>
  <si>
    <t>TNBS</t>
  </si>
  <si>
    <t>British Academy/Leverhulme Snr Res Fellowship v3</t>
  </si>
  <si>
    <t>2511LD001/PS8</t>
  </si>
  <si>
    <t>UK PACT Vietnam</t>
  </si>
  <si>
    <t>Applications</t>
  </si>
  <si>
    <t>FY2021</t>
  </si>
  <si>
    <t>Year</t>
  </si>
  <si>
    <t>Awards</t>
  </si>
  <si>
    <t>FY2122</t>
  </si>
  <si>
    <t>FY2223</t>
  </si>
  <si>
    <t>FY2324</t>
  </si>
  <si>
    <t>FY2425</t>
  </si>
  <si>
    <t>FY2526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</si>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</sst>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;[Red]\-&quot;£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Research funding applications and awards, 2021 - present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8"/>
          <c:order val="8"/>
          <c:tx>
            <c:strRef>
              <c:f>Summary!$S$3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Summary!$J$4:$J$10</c15:sqref>
                  </c15:fullRef>
                </c:ext>
              </c:extLst>
              <c:f>Summary!$J$5:$J$10</c:f>
              <c:strCache>
                <c:ptCount val="6"/>
                <c:pt idx="0">
                  <c:v>FY2021</c:v>
                </c:pt>
                <c:pt idx="1">
                  <c:v>FY2122</c:v>
                </c:pt>
                <c:pt idx="2">
                  <c:v>FY2223</c:v>
                </c:pt>
                <c:pt idx="3">
                  <c:v>FY2324</c:v>
                </c:pt>
                <c:pt idx="4">
                  <c:v>FY2425</c:v>
                </c:pt>
                <c:pt idx="5">
                  <c:v>FY2526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Summary!$S$4:$S$10</c15:sqref>
                  </c15:fullRef>
                </c:ext>
              </c:extLst>
              <c:f>Summary!$S$5:$S$10</c:f>
              <c:numCache>
                <c:formatCode>General</c:formatCode>
                <c:ptCount val="6"/>
                <c:pt idx="0">
                  <c:v>81</c:v>
                </c:pt>
                <c:pt idx="1">
                  <c:v>78</c:v>
                </c:pt>
                <c:pt idx="2">
                  <c:v>78</c:v>
                </c:pt>
                <c:pt idx="3">
                  <c:v>129</c:v>
                </c:pt>
                <c:pt idx="4">
                  <c:v>133</c:v>
                </c:pt>
                <c:pt idx="5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F29-4A3E-ACAC-8E1C7B78C28B}"/>
            </c:ext>
          </c:extLst>
        </c:ser>
        <c:ser>
          <c:idx val="9"/>
          <c:order val="9"/>
          <c:tx>
            <c:strRef>
              <c:f>Summary!$T$3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Summary!$J$4:$J$10</c15:sqref>
                  </c15:fullRef>
                </c:ext>
              </c:extLst>
              <c:f>Summary!$J$5:$J$10</c:f>
              <c:strCache>
                <c:ptCount val="6"/>
                <c:pt idx="0">
                  <c:v>FY2021</c:v>
                </c:pt>
                <c:pt idx="1">
                  <c:v>FY2122</c:v>
                </c:pt>
                <c:pt idx="2">
                  <c:v>FY2223</c:v>
                </c:pt>
                <c:pt idx="3">
                  <c:v>FY2324</c:v>
                </c:pt>
                <c:pt idx="4">
                  <c:v>FY2425</c:v>
                </c:pt>
                <c:pt idx="5">
                  <c:v>FY2526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Summary!$T$4:$T$10</c15:sqref>
                  </c15:fullRef>
                </c:ext>
              </c:extLst>
              <c:f>Summary!$T$5:$T$10</c:f>
              <c:numCache>
                <c:formatCode>General</c:formatCode>
                <c:ptCount val="6"/>
                <c:pt idx="0">
                  <c:v>29</c:v>
                </c:pt>
                <c:pt idx="1">
                  <c:v>34</c:v>
                </c:pt>
                <c:pt idx="2">
                  <c:v>31</c:v>
                </c:pt>
                <c:pt idx="3">
                  <c:v>35</c:v>
                </c:pt>
                <c:pt idx="4">
                  <c:v>21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F29-4A3E-ACAC-8E1C7B78C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87747647"/>
        <c:axId val="10877484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Summary!$K$3</c15:sqref>
                        </c15:formulaRef>
                      </c:ext>
                    </c:extLst>
                    <c:strCache>
                      <c:ptCount val="1"/>
                      <c:pt idx="0">
                        <c:v>AC Count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Summary!$J$4:$J$10</c15:sqref>
                        </c15:fullRef>
                        <c15:formulaRef>
                          <c15:sqref>Summary!$J$5:$J$10</c15:sqref>
                        </c15:formulaRef>
                      </c:ext>
                    </c:extLst>
                    <c:strCache>
                      <c:ptCount val="6"/>
                      <c:pt idx="0">
                        <c:v>FY2021</c:v>
                      </c:pt>
                      <c:pt idx="1">
                        <c:v>FY2122</c:v>
                      </c:pt>
                      <c:pt idx="2">
                        <c:v>FY2223</c:v>
                      </c:pt>
                      <c:pt idx="3">
                        <c:v>FY2324</c:v>
                      </c:pt>
                      <c:pt idx="4">
                        <c:v>FY2425</c:v>
                      </c:pt>
                      <c:pt idx="5">
                        <c:v>FY2526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Summary!$K$4:$K$10</c15:sqref>
                        </c15:fullRef>
                        <c15:formulaRef>
                          <c15:sqref>Summary!$K$5:$K$10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31</c:v>
                      </c:pt>
                      <c:pt idx="1">
                        <c:v>37</c:v>
                      </c:pt>
                      <c:pt idx="2">
                        <c:v>27</c:v>
                      </c:pt>
                      <c:pt idx="3">
                        <c:v>39</c:v>
                      </c:pt>
                      <c:pt idx="4">
                        <c:v>52</c:v>
                      </c:pt>
                      <c:pt idx="5">
                        <c:v>28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F29-4A3E-ACAC-8E1C7B78C28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Summary!$L$3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Summary!$J$4:$J$10</c15:sqref>
                        </c15:fullRef>
                        <c15:formulaRef>
                          <c15:sqref>Summary!$J$5:$J$10</c15:sqref>
                        </c15:formulaRef>
                      </c:ext>
                    </c:extLst>
                    <c:strCache>
                      <c:ptCount val="6"/>
                      <c:pt idx="0">
                        <c:v>FY2021</c:v>
                      </c:pt>
                      <c:pt idx="1">
                        <c:v>FY2122</c:v>
                      </c:pt>
                      <c:pt idx="2">
                        <c:v>FY2223</c:v>
                      </c:pt>
                      <c:pt idx="3">
                        <c:v>FY2324</c:v>
                      </c:pt>
                      <c:pt idx="4">
                        <c:v>FY2425</c:v>
                      </c:pt>
                      <c:pt idx="5">
                        <c:v>FY2526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Summary!$L$4:$L$10</c15:sqref>
                        </c15:fullRef>
                        <c15:formulaRef>
                          <c15:sqref>Summary!$L$5:$L$10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8</c:v>
                      </c:pt>
                      <c:pt idx="1">
                        <c:v>16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8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F29-4A3E-ACAC-8E1C7B78C28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Summary!$M$3</c15:sqref>
                        </c15:formulaRef>
                      </c:ext>
                    </c:extLst>
                    <c:strCache>
                      <c:ptCount val="1"/>
                      <c:pt idx="0">
                        <c:v>AF Count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Summary!$J$4:$J$10</c15:sqref>
                        </c15:fullRef>
                        <c15:formulaRef>
                          <c15:sqref>Summary!$J$5:$J$10</c15:sqref>
                        </c15:formulaRef>
                      </c:ext>
                    </c:extLst>
                    <c:strCache>
                      <c:ptCount val="6"/>
                      <c:pt idx="0">
                        <c:v>FY2021</c:v>
                      </c:pt>
                      <c:pt idx="1">
                        <c:v>FY2122</c:v>
                      </c:pt>
                      <c:pt idx="2">
                        <c:v>FY2223</c:v>
                      </c:pt>
                      <c:pt idx="3">
                        <c:v>FY2324</c:v>
                      </c:pt>
                      <c:pt idx="4">
                        <c:v>FY2425</c:v>
                      </c:pt>
                      <c:pt idx="5">
                        <c:v>FY2526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Summary!$M$4:$M$10</c15:sqref>
                        </c15:fullRef>
                        <c15:formulaRef>
                          <c15:sqref>Summary!$M$5:$M$10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28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45</c:v>
                      </c:pt>
                      <c:pt idx="4">
                        <c:v>46</c:v>
                      </c:pt>
                      <c:pt idx="5">
                        <c:v>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F29-4A3E-ACAC-8E1C7B78C28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Summary!$J$4:$J$10</c15:sqref>
                        </c15:fullRef>
                        <c15:formulaRef>
                          <c15:sqref>Summary!$J$5:$J$10</c15:sqref>
                        </c15:formulaRef>
                      </c:ext>
                    </c:extLst>
                    <c:strCache>
                      <c:ptCount val="6"/>
                      <c:pt idx="0">
                        <c:v>FY2021</c:v>
                      </c:pt>
                      <c:pt idx="1">
                        <c:v>FY2122</c:v>
                      </c:pt>
                      <c:pt idx="2">
                        <c:v>FY2223</c:v>
                      </c:pt>
                      <c:pt idx="3">
                        <c:v>FY2324</c:v>
                      </c:pt>
                      <c:pt idx="4">
                        <c:v>FY2425</c:v>
                      </c:pt>
                      <c:pt idx="5">
                        <c:v>FY2526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Summary!$N$4:$N$10</c15:sqref>
                        </c15:fullRef>
                        <c15:formulaRef>
                          <c15:sqref>Summary!$N$5:$N$10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10</c:v>
                      </c:pt>
                      <c:pt idx="1">
                        <c:v>11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8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F29-4A3E-ACAC-8E1C7B78C28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Summary!$O$3</c15:sqref>
                        </c15:formulaRef>
                      </c:ext>
                    </c:extLst>
                    <c:strCache>
                      <c:ptCount val="1"/>
                      <c:pt idx="0">
                        <c:v>JQ Count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Summary!$J$4:$J$10</c15:sqref>
                        </c15:fullRef>
                        <c15:formulaRef>
                          <c15:sqref>Summary!$J$5:$J$10</c15:sqref>
                        </c15:formulaRef>
                      </c:ext>
                    </c:extLst>
                    <c:strCache>
                      <c:ptCount val="6"/>
                      <c:pt idx="0">
                        <c:v>FY2021</c:v>
                      </c:pt>
                      <c:pt idx="1">
                        <c:v>FY2122</c:v>
                      </c:pt>
                      <c:pt idx="2">
                        <c:v>FY2223</c:v>
                      </c:pt>
                      <c:pt idx="3">
                        <c:v>FY2324</c:v>
                      </c:pt>
                      <c:pt idx="4">
                        <c:v>FY2425</c:v>
                      </c:pt>
                      <c:pt idx="5">
                        <c:v>FY2526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Summary!$O$4:$O$10</c15:sqref>
                        </c15:fullRef>
                        <c15:formulaRef>
                          <c15:sqref>Summary!$O$5:$O$10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</c:v>
                      </c:pt>
                      <c:pt idx="1">
                        <c:v>5</c:v>
                      </c:pt>
                      <c:pt idx="2">
                        <c:v>7</c:v>
                      </c:pt>
                      <c:pt idx="3">
                        <c:v>14</c:v>
                      </c:pt>
                      <c:pt idx="4">
                        <c:v>11</c:v>
                      </c:pt>
                      <c:pt idx="5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F29-4A3E-ACAC-8E1C7B78C28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Summary!$P$3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Summary!$J$4:$J$10</c15:sqref>
                        </c15:fullRef>
                        <c15:formulaRef>
                          <c15:sqref>Summary!$J$5:$J$10</c15:sqref>
                        </c15:formulaRef>
                      </c:ext>
                    </c:extLst>
                    <c:strCache>
                      <c:ptCount val="6"/>
                      <c:pt idx="0">
                        <c:v>FY2021</c:v>
                      </c:pt>
                      <c:pt idx="1">
                        <c:v>FY2122</c:v>
                      </c:pt>
                      <c:pt idx="2">
                        <c:v>FY2223</c:v>
                      </c:pt>
                      <c:pt idx="3">
                        <c:v>FY2324</c:v>
                      </c:pt>
                      <c:pt idx="4">
                        <c:v>FY2425</c:v>
                      </c:pt>
                      <c:pt idx="5">
                        <c:v>FY2526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Summary!$P$4:$P$10</c15:sqref>
                        </c15:fullRef>
                        <c15:formulaRef>
                          <c15:sqref>Summary!$P$5:$P$10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F29-4A3E-ACAC-8E1C7B78C28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Summary!$Q$3</c15:sqref>
                        </c15:formulaRef>
                      </c:ext>
                    </c:extLst>
                    <c:strCache>
                      <c:ptCount val="1"/>
                      <c:pt idx="0">
                        <c:v>LD Count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Summary!$J$4:$J$10</c15:sqref>
                        </c15:fullRef>
                        <c15:formulaRef>
                          <c15:sqref>Summary!$J$5:$J$10</c15:sqref>
                        </c15:formulaRef>
                      </c:ext>
                    </c:extLst>
                    <c:strCache>
                      <c:ptCount val="6"/>
                      <c:pt idx="0">
                        <c:v>FY2021</c:v>
                      </c:pt>
                      <c:pt idx="1">
                        <c:v>FY2122</c:v>
                      </c:pt>
                      <c:pt idx="2">
                        <c:v>FY2223</c:v>
                      </c:pt>
                      <c:pt idx="3">
                        <c:v>FY2324</c:v>
                      </c:pt>
                      <c:pt idx="4">
                        <c:v>FY2425</c:v>
                      </c:pt>
                      <c:pt idx="5">
                        <c:v>FY2526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Summary!$Q$4:$Q$10</c15:sqref>
                        </c15:fullRef>
                        <c15:formulaRef>
                          <c15:sqref>Summary!$Q$5:$Q$10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19</c:v>
                      </c:pt>
                      <c:pt idx="1">
                        <c:v>14</c:v>
                      </c:pt>
                      <c:pt idx="2">
                        <c:v>22</c:v>
                      </c:pt>
                      <c:pt idx="3">
                        <c:v>31</c:v>
                      </c:pt>
                      <c:pt idx="4">
                        <c:v>24</c:v>
                      </c:pt>
                      <c:pt idx="5">
                        <c:v>10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F29-4A3E-ACAC-8E1C7B78C28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Summary!$R$3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Summary!$J$4:$J$10</c15:sqref>
                        </c15:fullRef>
                        <c15:formulaRef>
                          <c15:sqref>Summary!$J$5:$J$10</c15:sqref>
                        </c15:formulaRef>
                      </c:ext>
                    </c:extLst>
                    <c:strCache>
                      <c:ptCount val="6"/>
                      <c:pt idx="0">
                        <c:v>FY2021</c:v>
                      </c:pt>
                      <c:pt idx="1">
                        <c:v>FY2122</c:v>
                      </c:pt>
                      <c:pt idx="2">
                        <c:v>FY2223</c:v>
                      </c:pt>
                      <c:pt idx="3">
                        <c:v>FY2324</c:v>
                      </c:pt>
                      <c:pt idx="4">
                        <c:v>FY2425</c:v>
                      </c:pt>
                      <c:pt idx="5">
                        <c:v>FY2526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Summary!$R$4:$R$10</c15:sqref>
                        </c15:fullRef>
                        <c15:formulaRef>
                          <c15:sqref>Summary!$R$5:$R$10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10</c:v>
                      </c:pt>
                      <c:pt idx="1">
                        <c:v>6</c:v>
                      </c:pt>
                      <c:pt idx="2">
                        <c:v>10</c:v>
                      </c:pt>
                      <c:pt idx="3">
                        <c:v>11</c:v>
                      </c:pt>
                      <c:pt idx="4">
                        <c:v>3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1F29-4A3E-ACAC-8E1C7B78C28B}"/>
                  </c:ext>
                </c:extLst>
              </c15:ser>
            </c15:filteredBarSeries>
          </c:ext>
        </c:extLst>
      </c:barChart>
      <c:catAx>
        <c:axId val="108774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748479"/>
        <c:crosses val="autoZero"/>
        <c:auto val="1"/>
        <c:lblAlgn val="ctr"/>
        <c:lblOffset val="100"/>
        <c:noMultiLvlLbl val="0"/>
      </c:catAx>
      <c:valAx>
        <c:axId val="108774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747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13</xdr:row>
      <xdr:rowOff>128586</xdr:rowOff>
    </xdr:from>
    <xdr:to>
      <xdr:col>19</xdr:col>
      <xdr:colOff>581024</xdr:colOff>
      <xdr:row>37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ED28B5-8453-4DEE-882B-8E928F97D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1"/>
  <sheetViews>
    <sheetView tabSelected="1" workbookViewId="0">
      <selection activeCell="K2" sqref="K2"/>
    </sheetView>
  </sheetViews>
  <sheetFormatPr baseColWidth="10" defaultColWidth="8.83203125" defaultRowHeight="15" x14ac:dyDescent="0.2"/>
  <cols>
    <col min="1" max="1" width="20.6640625" customWidth="1"/>
    <col min="3" max="3" width="9.1640625" customWidth="1"/>
    <col min="4" max="4" width="17" customWidth="1"/>
    <col min="5" max="5" width="48.83203125" customWidth="1"/>
    <col min="6" max="6" width="27.5" customWidth="1"/>
    <col min="7" max="7" width="9.1640625" customWidth="1"/>
    <col min="9" max="9" width="34.5" customWidth="1"/>
    <col min="10" max="10" width="9.1640625" customWidth="1"/>
    <col min="11" max="11" width="17.33203125" customWidth="1"/>
    <col min="12" max="12" width="21.6640625" customWidth="1"/>
    <col min="13" max="13" width="16.66406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687</v>
      </c>
      <c r="B2" t="s">
        <v>250</v>
      </c>
      <c r="C2" t="s">
        <v>993</v>
      </c>
      <c r="D2" t="s">
        <v>994</v>
      </c>
      <c r="E2" t="s">
        <v>995</v>
      </c>
      <c r="F2" t="s">
        <v>25</v>
      </c>
      <c r="G2" t="s">
        <v>996</v>
      </c>
      <c r="H2" t="s">
        <v>748</v>
      </c>
      <c r="I2" t="s">
        <v>28</v>
      </c>
      <c r="J2" t="s">
        <v>29</v>
      </c>
      <c r="K2" t="s">
        <v>46</v>
      </c>
      <c r="L2" t="s">
        <v>38</v>
      </c>
      <c r="M2" s="1">
        <v>0</v>
      </c>
      <c r="N2">
        <v>0</v>
      </c>
      <c r="O2">
        <v>0</v>
      </c>
      <c r="P2">
        <v>91.25</v>
      </c>
      <c r="Q2">
        <v>0</v>
      </c>
      <c r="R2" s="2">
        <v>0</v>
      </c>
      <c r="S2">
        <v>0</v>
      </c>
      <c r="T2">
        <v>1</v>
      </c>
    </row>
    <row r="3" spans="1:20" x14ac:dyDescent="0.2">
      <c r="A3" t="s">
        <v>958</v>
      </c>
      <c r="B3" t="s">
        <v>158</v>
      </c>
      <c r="C3" t="s">
        <v>961</v>
      </c>
      <c r="D3" t="s">
        <v>962</v>
      </c>
      <c r="E3" t="s">
        <v>963</v>
      </c>
      <c r="F3" t="s">
        <v>25</v>
      </c>
      <c r="G3" t="s">
        <v>964</v>
      </c>
      <c r="H3" t="s">
        <v>748</v>
      </c>
      <c r="I3" t="s">
        <v>28</v>
      </c>
      <c r="J3" t="s">
        <v>29</v>
      </c>
      <c r="K3" t="s">
        <v>46</v>
      </c>
      <c r="L3" t="s">
        <v>38</v>
      </c>
      <c r="M3" s="1">
        <v>0</v>
      </c>
      <c r="N3">
        <v>0</v>
      </c>
      <c r="O3">
        <v>0</v>
      </c>
      <c r="P3">
        <v>91.25</v>
      </c>
      <c r="Q3">
        <v>0</v>
      </c>
      <c r="R3" s="2">
        <v>0</v>
      </c>
      <c r="S3">
        <v>0</v>
      </c>
      <c r="T3">
        <v>1</v>
      </c>
    </row>
    <row r="4" spans="1:20" x14ac:dyDescent="0.2">
      <c r="A4" t="s">
        <v>157</v>
      </c>
      <c r="B4" t="s">
        <v>158</v>
      </c>
      <c r="C4" t="s">
        <v>908</v>
      </c>
      <c r="D4" t="s">
        <v>909</v>
      </c>
      <c r="E4" t="s">
        <v>910</v>
      </c>
      <c r="F4" t="s">
        <v>25</v>
      </c>
      <c r="G4" t="s">
        <v>911</v>
      </c>
      <c r="H4" t="s">
        <v>748</v>
      </c>
      <c r="I4" t="s">
        <v>88</v>
      </c>
      <c r="J4" t="s">
        <v>29</v>
      </c>
      <c r="K4" t="s">
        <v>46</v>
      </c>
      <c r="L4" t="s">
        <v>38</v>
      </c>
      <c r="M4" s="1">
        <v>0</v>
      </c>
      <c r="N4">
        <v>0</v>
      </c>
      <c r="O4">
        <v>0</v>
      </c>
      <c r="P4">
        <v>91.25</v>
      </c>
      <c r="Q4">
        <v>0</v>
      </c>
      <c r="R4" s="2">
        <v>0</v>
      </c>
      <c r="S4">
        <v>1</v>
      </c>
      <c r="T4">
        <v>1</v>
      </c>
    </row>
    <row r="5" spans="1:20" x14ac:dyDescent="0.2">
      <c r="A5" t="s">
        <v>112</v>
      </c>
      <c r="B5" t="s">
        <v>21</v>
      </c>
      <c r="C5" t="s">
        <v>113</v>
      </c>
      <c r="D5" t="s">
        <v>114</v>
      </c>
      <c r="E5" t="s">
        <v>115</v>
      </c>
      <c r="F5" t="s">
        <v>25</v>
      </c>
      <c r="G5" t="s">
        <v>114</v>
      </c>
      <c r="H5" t="s">
        <v>27</v>
      </c>
      <c r="I5" t="s">
        <v>75</v>
      </c>
      <c r="J5" t="s">
        <v>29</v>
      </c>
      <c r="K5" t="s">
        <v>46</v>
      </c>
      <c r="L5" t="s">
        <v>38</v>
      </c>
      <c r="M5" s="1">
        <v>0</v>
      </c>
      <c r="N5">
        <v>0</v>
      </c>
      <c r="O5">
        <v>0</v>
      </c>
      <c r="P5">
        <v>91.25</v>
      </c>
      <c r="Q5">
        <v>0</v>
      </c>
      <c r="R5" s="2">
        <v>0</v>
      </c>
      <c r="S5">
        <v>1</v>
      </c>
      <c r="T5">
        <v>1</v>
      </c>
    </row>
    <row r="6" spans="1:20" x14ac:dyDescent="0.2">
      <c r="A6" t="s">
        <v>330</v>
      </c>
      <c r="B6" t="s">
        <v>21</v>
      </c>
      <c r="C6" t="s">
        <v>368</v>
      </c>
      <c r="D6" t="s">
        <v>369</v>
      </c>
      <c r="E6" t="s">
        <v>115</v>
      </c>
      <c r="F6" t="s">
        <v>25</v>
      </c>
      <c r="G6" t="s">
        <v>114</v>
      </c>
      <c r="H6" t="s">
        <v>319</v>
      </c>
      <c r="I6" t="s">
        <v>75</v>
      </c>
      <c r="J6" t="s">
        <v>29</v>
      </c>
      <c r="K6" t="s">
        <v>46</v>
      </c>
      <c r="L6" t="s">
        <v>31</v>
      </c>
      <c r="M6" s="1">
        <v>16292.41</v>
      </c>
      <c r="N6">
        <v>1</v>
      </c>
      <c r="O6">
        <v>1</v>
      </c>
      <c r="P6">
        <v>91.25</v>
      </c>
      <c r="Q6">
        <v>0</v>
      </c>
      <c r="R6" s="2">
        <v>1</v>
      </c>
      <c r="S6">
        <v>0</v>
      </c>
      <c r="T6">
        <v>0</v>
      </c>
    </row>
    <row r="7" spans="1:20" x14ac:dyDescent="0.2">
      <c r="A7" t="s">
        <v>589</v>
      </c>
      <c r="B7" t="s">
        <v>21</v>
      </c>
      <c r="C7" t="s">
        <v>590</v>
      </c>
      <c r="D7" t="s">
        <v>591</v>
      </c>
      <c r="E7" t="s">
        <v>115</v>
      </c>
      <c r="F7" t="s">
        <v>25</v>
      </c>
      <c r="G7" t="s">
        <v>114</v>
      </c>
      <c r="H7" t="s">
        <v>550</v>
      </c>
      <c r="I7" t="s">
        <v>75</v>
      </c>
      <c r="J7" t="s">
        <v>29</v>
      </c>
      <c r="K7" t="s">
        <v>46</v>
      </c>
      <c r="L7" t="s">
        <v>38</v>
      </c>
      <c r="M7" s="1">
        <v>0</v>
      </c>
      <c r="N7">
        <v>0</v>
      </c>
      <c r="O7">
        <v>0</v>
      </c>
      <c r="P7">
        <v>91.25</v>
      </c>
      <c r="Q7">
        <v>0</v>
      </c>
      <c r="R7" s="2">
        <v>0</v>
      </c>
      <c r="S7">
        <v>1</v>
      </c>
      <c r="T7">
        <v>1</v>
      </c>
    </row>
    <row r="8" spans="1:20" x14ac:dyDescent="0.2">
      <c r="A8" t="s">
        <v>32</v>
      </c>
      <c r="B8" t="s">
        <v>21</v>
      </c>
      <c r="C8" t="s">
        <v>627</v>
      </c>
      <c r="D8" t="s">
        <v>628</v>
      </c>
      <c r="E8" t="s">
        <v>115</v>
      </c>
      <c r="F8" t="s">
        <v>58</v>
      </c>
      <c r="G8" t="s">
        <v>114</v>
      </c>
      <c r="H8" t="s">
        <v>550</v>
      </c>
      <c r="I8" t="s">
        <v>75</v>
      </c>
      <c r="J8" t="s">
        <v>29</v>
      </c>
      <c r="K8" t="s">
        <v>46</v>
      </c>
      <c r="L8" t="s">
        <v>38</v>
      </c>
      <c r="M8" s="1">
        <v>0</v>
      </c>
      <c r="N8">
        <v>0</v>
      </c>
      <c r="O8">
        <v>0</v>
      </c>
      <c r="P8">
        <v>91.25</v>
      </c>
      <c r="Q8">
        <v>0</v>
      </c>
      <c r="R8" s="2">
        <v>0</v>
      </c>
      <c r="S8">
        <v>1</v>
      </c>
      <c r="T8">
        <v>1</v>
      </c>
    </row>
    <row r="9" spans="1:20" x14ac:dyDescent="0.2">
      <c r="A9" t="s">
        <v>751</v>
      </c>
      <c r="B9" t="s">
        <v>21</v>
      </c>
      <c r="C9" t="s">
        <v>752</v>
      </c>
      <c r="D9" t="s">
        <v>753</v>
      </c>
      <c r="E9" t="s">
        <v>115</v>
      </c>
      <c r="F9" t="s">
        <v>25</v>
      </c>
      <c r="G9" t="s">
        <v>114</v>
      </c>
      <c r="H9" t="s">
        <v>748</v>
      </c>
      <c r="I9" t="s">
        <v>75</v>
      </c>
      <c r="J9" t="s">
        <v>29</v>
      </c>
      <c r="K9" t="s">
        <v>46</v>
      </c>
      <c r="L9" t="s">
        <v>38</v>
      </c>
      <c r="M9" s="1">
        <v>0</v>
      </c>
      <c r="N9">
        <v>0</v>
      </c>
      <c r="O9">
        <v>0</v>
      </c>
      <c r="P9">
        <v>91.25</v>
      </c>
      <c r="Q9">
        <v>0</v>
      </c>
      <c r="R9" s="2">
        <v>0</v>
      </c>
      <c r="S9">
        <v>1</v>
      </c>
      <c r="T9">
        <v>1</v>
      </c>
    </row>
    <row r="10" spans="1:20" x14ac:dyDescent="0.2">
      <c r="A10" t="s">
        <v>589</v>
      </c>
      <c r="B10" t="s">
        <v>21</v>
      </c>
      <c r="C10" t="s">
        <v>766</v>
      </c>
      <c r="D10" t="s">
        <v>767</v>
      </c>
      <c r="E10" t="s">
        <v>115</v>
      </c>
      <c r="F10" t="s">
        <v>25</v>
      </c>
      <c r="G10" t="s">
        <v>114</v>
      </c>
      <c r="H10" t="s">
        <v>748</v>
      </c>
      <c r="I10" t="s">
        <v>75</v>
      </c>
      <c r="J10" t="s">
        <v>29</v>
      </c>
      <c r="K10" t="s">
        <v>46</v>
      </c>
      <c r="L10" t="s">
        <v>31</v>
      </c>
      <c r="M10" s="1">
        <v>167300.81</v>
      </c>
      <c r="N10">
        <v>1</v>
      </c>
      <c r="O10">
        <v>1</v>
      </c>
      <c r="P10">
        <v>91.25</v>
      </c>
      <c r="Q10">
        <v>0</v>
      </c>
      <c r="R10" s="2">
        <v>1</v>
      </c>
      <c r="S10">
        <v>0</v>
      </c>
      <c r="T10">
        <v>0</v>
      </c>
    </row>
    <row r="11" spans="1:20" x14ac:dyDescent="0.2">
      <c r="A11" t="s">
        <v>112</v>
      </c>
      <c r="B11" t="s">
        <v>21</v>
      </c>
      <c r="C11" t="s">
        <v>772</v>
      </c>
      <c r="D11" t="s">
        <v>773</v>
      </c>
      <c r="E11" t="s">
        <v>115</v>
      </c>
      <c r="F11" t="s">
        <v>25</v>
      </c>
      <c r="G11" t="s">
        <v>114</v>
      </c>
      <c r="H11" t="s">
        <v>748</v>
      </c>
      <c r="I11" t="s">
        <v>75</v>
      </c>
      <c r="J11" t="s">
        <v>29</v>
      </c>
      <c r="K11" t="s">
        <v>46</v>
      </c>
      <c r="L11" t="s">
        <v>31</v>
      </c>
      <c r="M11" s="1">
        <v>97573</v>
      </c>
      <c r="N11">
        <v>1</v>
      </c>
      <c r="O11">
        <v>1</v>
      </c>
      <c r="P11">
        <v>91.25</v>
      </c>
      <c r="Q11">
        <v>0</v>
      </c>
      <c r="R11" s="2">
        <v>1</v>
      </c>
      <c r="S11">
        <v>0</v>
      </c>
      <c r="T11">
        <v>0</v>
      </c>
    </row>
    <row r="12" spans="1:20" x14ac:dyDescent="0.2">
      <c r="A12" t="s">
        <v>835</v>
      </c>
      <c r="B12" t="s">
        <v>21</v>
      </c>
      <c r="C12" t="s">
        <v>836</v>
      </c>
      <c r="D12" t="s">
        <v>837</v>
      </c>
      <c r="E12" t="s">
        <v>115</v>
      </c>
      <c r="F12" t="s">
        <v>58</v>
      </c>
      <c r="G12" t="s">
        <v>114</v>
      </c>
      <c r="H12" t="s">
        <v>748</v>
      </c>
      <c r="I12" t="s">
        <v>75</v>
      </c>
      <c r="J12" t="s">
        <v>29</v>
      </c>
      <c r="K12" t="s">
        <v>46</v>
      </c>
      <c r="L12" t="s">
        <v>38</v>
      </c>
      <c r="M12" s="1">
        <v>0</v>
      </c>
      <c r="N12">
        <v>0</v>
      </c>
      <c r="O12">
        <v>0</v>
      </c>
      <c r="P12">
        <v>91.25</v>
      </c>
      <c r="Q12">
        <v>0</v>
      </c>
      <c r="R12" s="2">
        <v>0</v>
      </c>
      <c r="S12">
        <v>1</v>
      </c>
      <c r="T12">
        <v>1</v>
      </c>
    </row>
    <row r="13" spans="1:20" x14ac:dyDescent="0.2">
      <c r="A13" t="s">
        <v>950</v>
      </c>
      <c r="B13" t="s">
        <v>158</v>
      </c>
      <c r="C13" t="s">
        <v>951</v>
      </c>
      <c r="D13" t="s">
        <v>952</v>
      </c>
      <c r="E13" t="s">
        <v>115</v>
      </c>
      <c r="F13" t="s">
        <v>25</v>
      </c>
      <c r="G13" t="s">
        <v>114</v>
      </c>
      <c r="H13" t="s">
        <v>748</v>
      </c>
      <c r="I13" t="s">
        <v>75</v>
      </c>
      <c r="J13" t="s">
        <v>29</v>
      </c>
      <c r="K13" t="s">
        <v>46</v>
      </c>
      <c r="L13" t="s">
        <v>38</v>
      </c>
      <c r="M13" s="1">
        <v>0</v>
      </c>
      <c r="N13">
        <v>0</v>
      </c>
      <c r="O13">
        <v>0</v>
      </c>
      <c r="P13">
        <v>91.25</v>
      </c>
      <c r="Q13">
        <v>0</v>
      </c>
      <c r="R13" s="2">
        <v>0</v>
      </c>
      <c r="S13">
        <v>1</v>
      </c>
      <c r="T13">
        <v>1</v>
      </c>
    </row>
    <row r="14" spans="1:20" x14ac:dyDescent="0.2">
      <c r="A14" t="s">
        <v>222</v>
      </c>
      <c r="B14" t="s">
        <v>158</v>
      </c>
      <c r="C14" t="s">
        <v>956</v>
      </c>
      <c r="D14" t="s">
        <v>957</v>
      </c>
      <c r="E14" t="s">
        <v>115</v>
      </c>
      <c r="F14" t="s">
        <v>25</v>
      </c>
      <c r="G14" t="s">
        <v>114</v>
      </c>
      <c r="H14" t="s">
        <v>748</v>
      </c>
      <c r="I14" t="s">
        <v>75</v>
      </c>
      <c r="J14" t="s">
        <v>29</v>
      </c>
      <c r="K14" t="s">
        <v>46</v>
      </c>
      <c r="L14" t="s">
        <v>38</v>
      </c>
      <c r="M14" s="1">
        <v>0</v>
      </c>
      <c r="N14">
        <v>0</v>
      </c>
      <c r="O14">
        <v>0</v>
      </c>
      <c r="P14">
        <v>91.25</v>
      </c>
      <c r="Q14">
        <v>0</v>
      </c>
      <c r="R14" s="2">
        <v>0</v>
      </c>
      <c r="S14">
        <v>1</v>
      </c>
      <c r="T14">
        <v>1</v>
      </c>
    </row>
    <row r="15" spans="1:20" x14ac:dyDescent="0.2">
      <c r="A15" t="s">
        <v>547</v>
      </c>
      <c r="B15" t="s">
        <v>250</v>
      </c>
      <c r="C15" t="s">
        <v>965</v>
      </c>
      <c r="D15" t="s">
        <v>966</v>
      </c>
      <c r="E15" t="s">
        <v>115</v>
      </c>
      <c r="F15" t="s">
        <v>25</v>
      </c>
      <c r="G15" t="s">
        <v>114</v>
      </c>
      <c r="H15" t="s">
        <v>748</v>
      </c>
      <c r="I15" t="s">
        <v>75</v>
      </c>
      <c r="J15" t="s">
        <v>29</v>
      </c>
      <c r="K15" t="s">
        <v>46</v>
      </c>
      <c r="L15" t="s">
        <v>38</v>
      </c>
      <c r="M15" s="1">
        <v>0</v>
      </c>
      <c r="N15">
        <v>0</v>
      </c>
      <c r="O15">
        <v>0</v>
      </c>
      <c r="P15">
        <v>91.25</v>
      </c>
      <c r="Q15">
        <v>0</v>
      </c>
      <c r="R15" s="2">
        <v>0</v>
      </c>
      <c r="S15">
        <v>1</v>
      </c>
      <c r="T15">
        <v>1</v>
      </c>
    </row>
    <row r="16" spans="1:20" x14ac:dyDescent="0.2">
      <c r="A16" t="s">
        <v>112</v>
      </c>
      <c r="B16" t="s">
        <v>21</v>
      </c>
      <c r="C16" t="s">
        <v>1135</v>
      </c>
      <c r="D16" t="s">
        <v>1136</v>
      </c>
      <c r="E16" t="s">
        <v>115</v>
      </c>
      <c r="F16" t="s">
        <v>25</v>
      </c>
      <c r="G16" t="s">
        <v>114</v>
      </c>
      <c r="H16" t="s">
        <v>1071</v>
      </c>
      <c r="I16" t="s">
        <v>75</v>
      </c>
      <c r="J16" t="s">
        <v>29</v>
      </c>
      <c r="K16" t="s">
        <v>46</v>
      </c>
      <c r="L16" t="s">
        <v>31</v>
      </c>
      <c r="M16" s="1">
        <v>111680</v>
      </c>
      <c r="N16">
        <v>1</v>
      </c>
      <c r="O16">
        <v>1</v>
      </c>
      <c r="P16">
        <v>91.25</v>
      </c>
      <c r="Q16">
        <v>0</v>
      </c>
      <c r="R16" s="2">
        <v>1</v>
      </c>
      <c r="S16">
        <v>0</v>
      </c>
      <c r="T16">
        <v>0</v>
      </c>
    </row>
    <row r="17" spans="1:20" x14ac:dyDescent="0.2">
      <c r="A17" t="s">
        <v>112</v>
      </c>
      <c r="B17" t="s">
        <v>21</v>
      </c>
      <c r="C17" t="s">
        <v>1145</v>
      </c>
      <c r="D17" t="s">
        <v>1146</v>
      </c>
      <c r="E17" t="s">
        <v>115</v>
      </c>
      <c r="F17" t="s">
        <v>25</v>
      </c>
      <c r="G17" t="s">
        <v>114</v>
      </c>
      <c r="H17" t="s">
        <v>1071</v>
      </c>
      <c r="I17" t="s">
        <v>75</v>
      </c>
      <c r="J17" t="s">
        <v>29</v>
      </c>
      <c r="K17" t="s">
        <v>46</v>
      </c>
      <c r="L17" t="s">
        <v>31</v>
      </c>
      <c r="M17" s="1">
        <v>0</v>
      </c>
      <c r="N17">
        <v>1</v>
      </c>
      <c r="O17">
        <v>1</v>
      </c>
      <c r="P17">
        <v>91.25</v>
      </c>
      <c r="Q17">
        <v>0</v>
      </c>
      <c r="R17" s="2">
        <v>1</v>
      </c>
      <c r="S17">
        <v>0</v>
      </c>
      <c r="T17">
        <v>0</v>
      </c>
    </row>
    <row r="18" spans="1:20" x14ac:dyDescent="0.2">
      <c r="A18" t="s">
        <v>1096</v>
      </c>
      <c r="B18" t="s">
        <v>21</v>
      </c>
      <c r="C18" t="s">
        <v>1456</v>
      </c>
      <c r="D18" t="s">
        <v>1457</v>
      </c>
      <c r="E18" t="s">
        <v>115</v>
      </c>
      <c r="F18" t="s">
        <v>25</v>
      </c>
      <c r="G18" t="s">
        <v>114</v>
      </c>
      <c r="H18" t="s">
        <v>1410</v>
      </c>
      <c r="I18" t="s">
        <v>75</v>
      </c>
      <c r="J18" t="s">
        <v>29</v>
      </c>
      <c r="K18" t="s">
        <v>46</v>
      </c>
      <c r="L18" t="s">
        <v>556</v>
      </c>
      <c r="M18" s="1">
        <v>0</v>
      </c>
      <c r="N18">
        <v>0</v>
      </c>
      <c r="O18">
        <v>0</v>
      </c>
      <c r="P18">
        <v>91.25</v>
      </c>
      <c r="Q18">
        <v>1</v>
      </c>
      <c r="R18" s="2">
        <v>0</v>
      </c>
      <c r="S18">
        <v>0</v>
      </c>
      <c r="T18">
        <v>0</v>
      </c>
    </row>
    <row r="19" spans="1:20" x14ac:dyDescent="0.2">
      <c r="A19" t="s">
        <v>212</v>
      </c>
      <c r="B19" t="s">
        <v>158</v>
      </c>
      <c r="C19" t="s">
        <v>1477</v>
      </c>
      <c r="D19" t="s">
        <v>1478</v>
      </c>
      <c r="E19" t="s">
        <v>115</v>
      </c>
      <c r="F19" t="s">
        <v>58</v>
      </c>
      <c r="G19" t="s">
        <v>114</v>
      </c>
      <c r="H19" t="s">
        <v>1410</v>
      </c>
      <c r="I19" t="s">
        <v>1479</v>
      </c>
      <c r="J19" t="s">
        <v>29</v>
      </c>
      <c r="K19" t="s">
        <v>46</v>
      </c>
      <c r="L19" t="s">
        <v>556</v>
      </c>
      <c r="M19" s="1">
        <v>0</v>
      </c>
      <c r="N19">
        <v>0</v>
      </c>
      <c r="O19">
        <v>0</v>
      </c>
      <c r="P19">
        <v>91.25</v>
      </c>
      <c r="Q19">
        <v>1</v>
      </c>
      <c r="R19" s="2">
        <v>0</v>
      </c>
      <c r="S19">
        <v>0</v>
      </c>
      <c r="T19">
        <v>0</v>
      </c>
    </row>
    <row r="20" spans="1:20" x14ac:dyDescent="0.2">
      <c r="A20" t="s">
        <v>1252</v>
      </c>
      <c r="B20" t="s">
        <v>158</v>
      </c>
      <c r="C20" t="s">
        <v>1253</v>
      </c>
      <c r="D20" t="s">
        <v>1254</v>
      </c>
      <c r="E20" t="s">
        <v>115</v>
      </c>
      <c r="F20" t="s">
        <v>25</v>
      </c>
      <c r="G20" t="s">
        <v>114</v>
      </c>
      <c r="H20" t="s">
        <v>1071</v>
      </c>
      <c r="I20" t="s">
        <v>1255</v>
      </c>
      <c r="J20" t="s">
        <v>29</v>
      </c>
      <c r="K20" t="s">
        <v>46</v>
      </c>
      <c r="L20" t="s">
        <v>38</v>
      </c>
      <c r="M20" s="1">
        <v>0</v>
      </c>
      <c r="N20">
        <v>0</v>
      </c>
      <c r="O20">
        <v>0</v>
      </c>
      <c r="P20">
        <v>91.25</v>
      </c>
      <c r="Q20">
        <v>0</v>
      </c>
      <c r="R20" s="2">
        <v>0</v>
      </c>
      <c r="S20">
        <v>1</v>
      </c>
      <c r="T20">
        <v>1</v>
      </c>
    </row>
    <row r="21" spans="1:20" x14ac:dyDescent="0.2">
      <c r="A21" t="s">
        <v>1371</v>
      </c>
      <c r="B21" t="s">
        <v>262</v>
      </c>
      <c r="C21" t="s">
        <v>1374</v>
      </c>
      <c r="D21" t="s">
        <v>1375</v>
      </c>
      <c r="E21" t="s">
        <v>115</v>
      </c>
      <c r="F21" t="s">
        <v>25</v>
      </c>
      <c r="G21" t="s">
        <v>114</v>
      </c>
      <c r="H21" t="s">
        <v>1071</v>
      </c>
      <c r="I21" t="s">
        <v>1255</v>
      </c>
      <c r="J21" t="s">
        <v>29</v>
      </c>
      <c r="K21" t="s">
        <v>46</v>
      </c>
      <c r="L21" t="s">
        <v>38</v>
      </c>
      <c r="M21" s="1">
        <v>0</v>
      </c>
      <c r="N21">
        <v>0</v>
      </c>
      <c r="O21">
        <v>0</v>
      </c>
      <c r="P21">
        <v>91.25</v>
      </c>
      <c r="Q21">
        <v>0</v>
      </c>
      <c r="R21" s="2">
        <v>0</v>
      </c>
      <c r="S21">
        <v>1</v>
      </c>
      <c r="T21">
        <v>1</v>
      </c>
    </row>
    <row r="22" spans="1:20" x14ac:dyDescent="0.2">
      <c r="A22" t="s">
        <v>434</v>
      </c>
      <c r="B22" t="s">
        <v>158</v>
      </c>
      <c r="C22" t="s">
        <v>1260</v>
      </c>
      <c r="D22" t="s">
        <v>1261</v>
      </c>
      <c r="E22" t="s">
        <v>1262</v>
      </c>
      <c r="F22" t="s">
        <v>25</v>
      </c>
      <c r="G22" t="s">
        <v>1263</v>
      </c>
      <c r="H22" t="s">
        <v>1071</v>
      </c>
      <c r="I22" t="s">
        <v>28</v>
      </c>
      <c r="J22" t="s">
        <v>29</v>
      </c>
      <c r="K22" t="s">
        <v>46</v>
      </c>
      <c r="L22" t="s">
        <v>31</v>
      </c>
      <c r="M22" s="1">
        <v>0</v>
      </c>
      <c r="N22">
        <v>0</v>
      </c>
      <c r="O22">
        <v>0</v>
      </c>
      <c r="P22">
        <v>91.25</v>
      </c>
      <c r="Q22">
        <v>0</v>
      </c>
      <c r="R22" s="2">
        <v>0</v>
      </c>
      <c r="S22">
        <v>0</v>
      </c>
      <c r="T22">
        <v>1</v>
      </c>
    </row>
    <row r="23" spans="1:20" x14ac:dyDescent="0.2">
      <c r="A23" t="s">
        <v>51</v>
      </c>
      <c r="B23" t="s">
        <v>21</v>
      </c>
      <c r="C23" t="s">
        <v>108</v>
      </c>
      <c r="D23" t="s">
        <v>109</v>
      </c>
      <c r="E23" t="s">
        <v>110</v>
      </c>
      <c r="F23" t="s">
        <v>25</v>
      </c>
      <c r="G23" t="s">
        <v>111</v>
      </c>
      <c r="H23" t="s">
        <v>27</v>
      </c>
      <c r="I23" t="s">
        <v>28</v>
      </c>
      <c r="J23" t="s">
        <v>29</v>
      </c>
      <c r="K23" t="s">
        <v>46</v>
      </c>
      <c r="L23" t="s">
        <v>38</v>
      </c>
      <c r="M23" s="1">
        <v>0</v>
      </c>
      <c r="N23">
        <v>0</v>
      </c>
      <c r="O23">
        <v>0</v>
      </c>
      <c r="P23">
        <v>91.25</v>
      </c>
      <c r="Q23">
        <v>0</v>
      </c>
      <c r="R23" s="2">
        <v>0</v>
      </c>
      <c r="S23">
        <v>1</v>
      </c>
      <c r="T23">
        <v>1</v>
      </c>
    </row>
    <row r="24" spans="1:20" x14ac:dyDescent="0.2">
      <c r="A24" t="s">
        <v>237</v>
      </c>
      <c r="B24" t="s">
        <v>158</v>
      </c>
      <c r="C24" t="s">
        <v>238</v>
      </c>
      <c r="D24" t="s">
        <v>239</v>
      </c>
      <c r="E24" t="s">
        <v>110</v>
      </c>
      <c r="F24" t="s">
        <v>25</v>
      </c>
      <c r="G24" t="s">
        <v>111</v>
      </c>
      <c r="H24" t="s">
        <v>27</v>
      </c>
      <c r="I24" t="s">
        <v>28</v>
      </c>
      <c r="J24" t="s">
        <v>29</v>
      </c>
      <c r="K24" t="s">
        <v>46</v>
      </c>
      <c r="L24" t="s">
        <v>38</v>
      </c>
      <c r="M24" s="1">
        <v>0</v>
      </c>
      <c r="N24">
        <v>0</v>
      </c>
      <c r="O24">
        <v>0</v>
      </c>
      <c r="P24">
        <v>91.25</v>
      </c>
      <c r="Q24">
        <v>0</v>
      </c>
      <c r="R24" s="2">
        <v>0</v>
      </c>
      <c r="S24">
        <v>1</v>
      </c>
      <c r="T24">
        <v>1</v>
      </c>
    </row>
    <row r="25" spans="1:20" x14ac:dyDescent="0.2">
      <c r="A25" t="s">
        <v>265</v>
      </c>
      <c r="B25" t="s">
        <v>262</v>
      </c>
      <c r="C25" t="s">
        <v>1557</v>
      </c>
      <c r="D25" t="s">
        <v>1558</v>
      </c>
      <c r="E25" t="s">
        <v>1559</v>
      </c>
      <c r="F25" t="s">
        <v>25</v>
      </c>
      <c r="G25" t="s">
        <v>1560</v>
      </c>
      <c r="H25" t="s">
        <v>1410</v>
      </c>
      <c r="I25" t="s">
        <v>28</v>
      </c>
      <c r="J25" t="s">
        <v>29</v>
      </c>
      <c r="K25" t="s">
        <v>46</v>
      </c>
      <c r="L25" t="s">
        <v>556</v>
      </c>
      <c r="M25" s="1">
        <v>0</v>
      </c>
      <c r="N25">
        <v>0</v>
      </c>
      <c r="O25">
        <v>0</v>
      </c>
      <c r="P25">
        <v>91.25</v>
      </c>
      <c r="Q25">
        <v>1</v>
      </c>
      <c r="R25" s="2">
        <v>0</v>
      </c>
      <c r="S25">
        <v>0</v>
      </c>
      <c r="T25">
        <v>0</v>
      </c>
    </row>
    <row r="26" spans="1:20" x14ac:dyDescent="0.2">
      <c r="A26" t="s">
        <v>327</v>
      </c>
      <c r="B26" t="s">
        <v>21</v>
      </c>
      <c r="C26" t="s">
        <v>364</v>
      </c>
      <c r="D26" t="s">
        <v>365</v>
      </c>
      <c r="E26" t="s">
        <v>366</v>
      </c>
      <c r="F26" t="s">
        <v>25</v>
      </c>
      <c r="G26" t="s">
        <v>367</v>
      </c>
      <c r="H26" t="s">
        <v>319</v>
      </c>
      <c r="I26" t="s">
        <v>28</v>
      </c>
      <c r="J26" t="s">
        <v>29</v>
      </c>
      <c r="K26" t="s">
        <v>46</v>
      </c>
      <c r="L26" t="s">
        <v>38</v>
      </c>
      <c r="M26" s="1">
        <v>0</v>
      </c>
      <c r="N26">
        <v>0</v>
      </c>
      <c r="O26">
        <v>0</v>
      </c>
      <c r="P26">
        <v>91.25</v>
      </c>
      <c r="Q26">
        <v>0</v>
      </c>
      <c r="R26" s="2">
        <v>0</v>
      </c>
      <c r="S26">
        <v>1</v>
      </c>
      <c r="T26">
        <v>1</v>
      </c>
    </row>
    <row r="27" spans="1:20" x14ac:dyDescent="0.2">
      <c r="A27" t="s">
        <v>1054</v>
      </c>
      <c r="B27" t="s">
        <v>262</v>
      </c>
      <c r="C27" t="s">
        <v>1055</v>
      </c>
      <c r="D27" t="s">
        <v>1056</v>
      </c>
      <c r="E27" t="s">
        <v>1057</v>
      </c>
      <c r="F27" t="s">
        <v>25</v>
      </c>
      <c r="G27" t="s">
        <v>1058</v>
      </c>
      <c r="H27" t="s">
        <v>748</v>
      </c>
      <c r="I27" t="s">
        <v>88</v>
      </c>
      <c r="J27" t="s">
        <v>29</v>
      </c>
      <c r="K27" t="s">
        <v>46</v>
      </c>
      <c r="L27" t="s">
        <v>38</v>
      </c>
      <c r="M27" s="1">
        <v>0</v>
      </c>
      <c r="N27">
        <v>0</v>
      </c>
      <c r="O27">
        <v>0</v>
      </c>
      <c r="P27">
        <v>91.25</v>
      </c>
      <c r="Q27">
        <v>0</v>
      </c>
      <c r="R27" s="2">
        <v>0</v>
      </c>
      <c r="S27">
        <v>1</v>
      </c>
      <c r="T27">
        <v>1</v>
      </c>
    </row>
    <row r="28" spans="1:20" x14ac:dyDescent="0.2">
      <c r="A28" t="s">
        <v>189</v>
      </c>
      <c r="B28" t="s">
        <v>158</v>
      </c>
      <c r="C28" t="s">
        <v>190</v>
      </c>
      <c r="D28" t="s">
        <v>191</v>
      </c>
      <c r="E28" t="s">
        <v>192</v>
      </c>
      <c r="F28" t="s">
        <v>58</v>
      </c>
      <c r="G28" t="s">
        <v>193</v>
      </c>
      <c r="H28" t="s">
        <v>27</v>
      </c>
      <c r="I28" t="s">
        <v>75</v>
      </c>
      <c r="J28" t="s">
        <v>29</v>
      </c>
      <c r="K28" t="s">
        <v>46</v>
      </c>
      <c r="L28" t="s">
        <v>38</v>
      </c>
      <c r="M28" s="1">
        <v>0</v>
      </c>
      <c r="N28">
        <v>0</v>
      </c>
      <c r="O28">
        <v>0</v>
      </c>
      <c r="P28">
        <v>91.25</v>
      </c>
      <c r="Q28">
        <v>0</v>
      </c>
      <c r="R28" s="2">
        <v>0</v>
      </c>
      <c r="S28">
        <v>1</v>
      </c>
      <c r="T28">
        <v>1</v>
      </c>
    </row>
    <row r="29" spans="1:20" x14ac:dyDescent="0.2">
      <c r="A29" t="s">
        <v>175</v>
      </c>
      <c r="B29" t="s">
        <v>158</v>
      </c>
      <c r="C29" t="s">
        <v>242</v>
      </c>
      <c r="D29" t="s">
        <v>243</v>
      </c>
      <c r="E29" t="s">
        <v>192</v>
      </c>
      <c r="F29" t="s">
        <v>25</v>
      </c>
      <c r="G29" t="s">
        <v>193</v>
      </c>
      <c r="H29" t="s">
        <v>27</v>
      </c>
      <c r="I29" t="s">
        <v>75</v>
      </c>
      <c r="J29" t="s">
        <v>29</v>
      </c>
      <c r="K29" t="s">
        <v>46</v>
      </c>
      <c r="L29" t="s">
        <v>38</v>
      </c>
      <c r="M29" s="1">
        <v>0</v>
      </c>
      <c r="N29">
        <v>0</v>
      </c>
      <c r="O29">
        <v>0</v>
      </c>
      <c r="P29">
        <v>91.25</v>
      </c>
      <c r="Q29">
        <v>0</v>
      </c>
      <c r="R29" s="2">
        <v>0</v>
      </c>
      <c r="S29">
        <v>1</v>
      </c>
      <c r="T29">
        <v>1</v>
      </c>
    </row>
    <row r="30" spans="1:20" x14ac:dyDescent="0.2">
      <c r="A30" t="s">
        <v>438</v>
      </c>
      <c r="B30" t="s">
        <v>158</v>
      </c>
      <c r="C30" t="s">
        <v>439</v>
      </c>
      <c r="D30" t="s">
        <v>440</v>
      </c>
      <c r="E30" t="s">
        <v>192</v>
      </c>
      <c r="F30" t="s">
        <v>25</v>
      </c>
      <c r="G30" t="s">
        <v>193</v>
      </c>
      <c r="H30" t="s">
        <v>319</v>
      </c>
      <c r="I30" t="s">
        <v>75</v>
      </c>
      <c r="J30" t="s">
        <v>29</v>
      </c>
      <c r="K30" t="s">
        <v>46</v>
      </c>
      <c r="L30" t="s">
        <v>38</v>
      </c>
      <c r="M30" s="1">
        <v>0</v>
      </c>
      <c r="N30">
        <v>0</v>
      </c>
      <c r="O30">
        <v>0</v>
      </c>
      <c r="P30">
        <v>91.25</v>
      </c>
      <c r="Q30">
        <v>0</v>
      </c>
      <c r="R30" s="2">
        <v>0</v>
      </c>
      <c r="S30">
        <v>1</v>
      </c>
      <c r="T30">
        <v>1</v>
      </c>
    </row>
    <row r="31" spans="1:20" x14ac:dyDescent="0.2">
      <c r="A31" t="s">
        <v>175</v>
      </c>
      <c r="B31" t="s">
        <v>158</v>
      </c>
      <c r="C31" t="s">
        <v>441</v>
      </c>
      <c r="D31" t="s">
        <v>442</v>
      </c>
      <c r="E31" t="s">
        <v>192</v>
      </c>
      <c r="F31" t="s">
        <v>25</v>
      </c>
      <c r="G31" t="s">
        <v>193</v>
      </c>
      <c r="H31" t="s">
        <v>319</v>
      </c>
      <c r="I31" t="s">
        <v>75</v>
      </c>
      <c r="J31" t="s">
        <v>29</v>
      </c>
      <c r="K31" t="s">
        <v>46</v>
      </c>
      <c r="L31" t="s">
        <v>31</v>
      </c>
      <c r="M31" s="1">
        <v>644114.75</v>
      </c>
      <c r="N31">
        <v>1</v>
      </c>
      <c r="O31">
        <v>1</v>
      </c>
      <c r="P31">
        <v>91.25</v>
      </c>
      <c r="Q31">
        <v>0</v>
      </c>
      <c r="R31" s="2">
        <v>1</v>
      </c>
      <c r="S31">
        <v>0</v>
      </c>
      <c r="T31">
        <v>0</v>
      </c>
    </row>
    <row r="32" spans="1:20" x14ac:dyDescent="0.2">
      <c r="A32" t="s">
        <v>438</v>
      </c>
      <c r="B32" t="s">
        <v>158</v>
      </c>
      <c r="C32" t="s">
        <v>446</v>
      </c>
      <c r="D32" t="s">
        <v>447</v>
      </c>
      <c r="E32" t="s">
        <v>192</v>
      </c>
      <c r="F32" t="s">
        <v>25</v>
      </c>
      <c r="G32" t="s">
        <v>193</v>
      </c>
      <c r="H32" t="s">
        <v>319</v>
      </c>
      <c r="I32" t="s">
        <v>75</v>
      </c>
      <c r="J32" t="s">
        <v>29</v>
      </c>
      <c r="K32" t="s">
        <v>46</v>
      </c>
      <c r="L32" t="s">
        <v>38</v>
      </c>
      <c r="M32" s="1">
        <v>0</v>
      </c>
      <c r="N32">
        <v>0</v>
      </c>
      <c r="O32">
        <v>0</v>
      </c>
      <c r="P32">
        <v>91.25</v>
      </c>
      <c r="Q32">
        <v>0</v>
      </c>
      <c r="R32" s="2">
        <v>0</v>
      </c>
      <c r="S32">
        <v>1</v>
      </c>
      <c r="T32">
        <v>1</v>
      </c>
    </row>
    <row r="33" spans="1:20" x14ac:dyDescent="0.2">
      <c r="A33" t="s">
        <v>574</v>
      </c>
      <c r="B33" t="s">
        <v>21</v>
      </c>
      <c r="C33" t="s">
        <v>575</v>
      </c>
      <c r="D33" t="s">
        <v>576</v>
      </c>
      <c r="E33" t="s">
        <v>192</v>
      </c>
      <c r="F33" t="s">
        <v>25</v>
      </c>
      <c r="G33" t="s">
        <v>193</v>
      </c>
      <c r="H33" t="s">
        <v>550</v>
      </c>
      <c r="I33" t="s">
        <v>75</v>
      </c>
      <c r="J33" t="s">
        <v>29</v>
      </c>
      <c r="K33" t="s">
        <v>46</v>
      </c>
      <c r="L33" t="s">
        <v>38</v>
      </c>
      <c r="M33" s="1">
        <v>0</v>
      </c>
      <c r="N33">
        <v>0</v>
      </c>
      <c r="O33">
        <v>0</v>
      </c>
      <c r="P33">
        <v>91.25</v>
      </c>
      <c r="Q33">
        <v>0</v>
      </c>
      <c r="R33" s="2">
        <v>0</v>
      </c>
      <c r="S33">
        <v>1</v>
      </c>
      <c r="T33">
        <v>1</v>
      </c>
    </row>
    <row r="34" spans="1:20" x14ac:dyDescent="0.2">
      <c r="A34" t="s">
        <v>438</v>
      </c>
      <c r="B34" t="s">
        <v>158</v>
      </c>
      <c r="C34" t="s">
        <v>1233</v>
      </c>
      <c r="D34" t="s">
        <v>1234</v>
      </c>
      <c r="E34" t="s">
        <v>192</v>
      </c>
      <c r="F34" t="s">
        <v>58</v>
      </c>
      <c r="G34" t="s">
        <v>193</v>
      </c>
      <c r="H34" t="s">
        <v>1071</v>
      </c>
      <c r="I34" t="s">
        <v>75</v>
      </c>
      <c r="J34" t="s">
        <v>29</v>
      </c>
      <c r="K34" t="s">
        <v>46</v>
      </c>
      <c r="L34" t="s">
        <v>38</v>
      </c>
      <c r="M34" s="1">
        <v>0</v>
      </c>
      <c r="N34">
        <v>0</v>
      </c>
      <c r="O34">
        <v>0</v>
      </c>
      <c r="P34">
        <v>91.25</v>
      </c>
      <c r="Q34">
        <v>0</v>
      </c>
      <c r="R34" s="2">
        <v>0</v>
      </c>
      <c r="S34">
        <v>1</v>
      </c>
      <c r="T34">
        <v>1</v>
      </c>
    </row>
    <row r="35" spans="1:20" x14ac:dyDescent="0.2">
      <c r="A35" t="s">
        <v>186</v>
      </c>
      <c r="B35" t="s">
        <v>158</v>
      </c>
      <c r="C35" t="s">
        <v>676</v>
      </c>
      <c r="D35" t="s">
        <v>677</v>
      </c>
      <c r="E35" t="s">
        <v>192</v>
      </c>
      <c r="F35" t="s">
        <v>25</v>
      </c>
      <c r="G35" t="s">
        <v>193</v>
      </c>
      <c r="H35" t="s">
        <v>550</v>
      </c>
      <c r="I35" t="s">
        <v>678</v>
      </c>
      <c r="J35" t="s">
        <v>29</v>
      </c>
      <c r="K35" t="s">
        <v>46</v>
      </c>
      <c r="L35" t="s">
        <v>31</v>
      </c>
      <c r="M35" s="1">
        <v>55529.03</v>
      </c>
      <c r="N35">
        <v>1</v>
      </c>
      <c r="O35">
        <v>1</v>
      </c>
      <c r="P35">
        <v>91.25</v>
      </c>
      <c r="Q35">
        <v>0</v>
      </c>
      <c r="R35" s="2">
        <v>1</v>
      </c>
      <c r="S35">
        <v>0</v>
      </c>
      <c r="T35">
        <v>0</v>
      </c>
    </row>
    <row r="36" spans="1:20" x14ac:dyDescent="0.2">
      <c r="A36" t="s">
        <v>32</v>
      </c>
      <c r="B36" t="s">
        <v>21</v>
      </c>
      <c r="C36" t="s">
        <v>1091</v>
      </c>
      <c r="D36" t="s">
        <v>1092</v>
      </c>
      <c r="E36" t="s">
        <v>192</v>
      </c>
      <c r="F36" t="s">
        <v>25</v>
      </c>
      <c r="G36" t="s">
        <v>193</v>
      </c>
      <c r="H36" t="s">
        <v>1071</v>
      </c>
      <c r="I36" t="s">
        <v>678</v>
      </c>
      <c r="J36" t="s">
        <v>29</v>
      </c>
      <c r="K36" t="s">
        <v>46</v>
      </c>
      <c r="L36" t="s">
        <v>38</v>
      </c>
      <c r="M36" s="1">
        <v>0</v>
      </c>
      <c r="N36">
        <v>0</v>
      </c>
      <c r="O36">
        <v>0</v>
      </c>
      <c r="P36">
        <v>91.25</v>
      </c>
      <c r="Q36">
        <v>0</v>
      </c>
      <c r="R36" s="2">
        <v>0</v>
      </c>
      <c r="S36">
        <v>1</v>
      </c>
      <c r="T36">
        <v>1</v>
      </c>
    </row>
    <row r="37" spans="1:20" x14ac:dyDescent="0.2">
      <c r="A37" t="s">
        <v>20</v>
      </c>
      <c r="B37" t="s">
        <v>250</v>
      </c>
      <c r="C37" t="s">
        <v>497</v>
      </c>
      <c r="D37" t="s">
        <v>498</v>
      </c>
      <c r="E37" t="s">
        <v>64</v>
      </c>
      <c r="F37" t="s">
        <v>58</v>
      </c>
      <c r="G37" t="s">
        <v>65</v>
      </c>
      <c r="H37" t="s">
        <v>319</v>
      </c>
      <c r="I37" t="s">
        <v>499</v>
      </c>
      <c r="J37" t="s">
        <v>29</v>
      </c>
      <c r="K37" t="s">
        <v>46</v>
      </c>
      <c r="L37" t="s">
        <v>38</v>
      </c>
      <c r="M37" s="1">
        <v>0</v>
      </c>
      <c r="N37">
        <v>0</v>
      </c>
      <c r="O37">
        <v>0</v>
      </c>
      <c r="P37">
        <v>91.25</v>
      </c>
      <c r="Q37">
        <v>0</v>
      </c>
      <c r="R37" s="2">
        <v>0</v>
      </c>
      <c r="S37">
        <v>1</v>
      </c>
      <c r="T37">
        <v>1</v>
      </c>
    </row>
    <row r="38" spans="1:20" x14ac:dyDescent="0.2">
      <c r="A38" t="s">
        <v>261</v>
      </c>
      <c r="B38" t="s">
        <v>262</v>
      </c>
      <c r="C38" t="s">
        <v>524</v>
      </c>
      <c r="D38" t="s">
        <v>525</v>
      </c>
      <c r="E38" t="s">
        <v>64</v>
      </c>
      <c r="F38" t="s">
        <v>25</v>
      </c>
      <c r="G38" t="s">
        <v>65</v>
      </c>
      <c r="H38" t="s">
        <v>319</v>
      </c>
      <c r="I38" t="s">
        <v>499</v>
      </c>
      <c r="J38" t="s">
        <v>29</v>
      </c>
      <c r="K38" t="s">
        <v>46</v>
      </c>
      <c r="L38" t="s">
        <v>38</v>
      </c>
      <c r="M38" s="1">
        <v>0</v>
      </c>
      <c r="N38">
        <v>0</v>
      </c>
      <c r="O38">
        <v>0</v>
      </c>
      <c r="P38">
        <v>91.25</v>
      </c>
      <c r="Q38">
        <v>0</v>
      </c>
      <c r="R38" s="2">
        <v>0</v>
      </c>
      <c r="S38">
        <v>1</v>
      </c>
      <c r="T38">
        <v>1</v>
      </c>
    </row>
    <row r="39" spans="1:20" x14ac:dyDescent="0.2">
      <c r="A39" t="s">
        <v>20</v>
      </c>
      <c r="B39" t="s">
        <v>250</v>
      </c>
      <c r="C39" t="s">
        <v>1336</v>
      </c>
      <c r="D39" t="s">
        <v>1337</v>
      </c>
      <c r="E39" t="s">
        <v>64</v>
      </c>
      <c r="F39" t="s">
        <v>25</v>
      </c>
      <c r="G39" t="s">
        <v>65</v>
      </c>
      <c r="H39" t="s">
        <v>1071</v>
      </c>
      <c r="I39" t="s">
        <v>499</v>
      </c>
      <c r="J39" t="s">
        <v>29</v>
      </c>
      <c r="K39" t="s">
        <v>46</v>
      </c>
      <c r="L39" t="s">
        <v>31</v>
      </c>
      <c r="M39" s="1">
        <v>214627.45</v>
      </c>
      <c r="N39">
        <v>1</v>
      </c>
      <c r="O39">
        <v>1</v>
      </c>
      <c r="P39">
        <v>91.25</v>
      </c>
      <c r="Q39">
        <v>0</v>
      </c>
      <c r="R39" s="2">
        <v>1</v>
      </c>
      <c r="S39">
        <v>0</v>
      </c>
      <c r="T39">
        <v>0</v>
      </c>
    </row>
    <row r="40" spans="1:20" x14ac:dyDescent="0.2">
      <c r="A40" t="s">
        <v>79</v>
      </c>
      <c r="B40" t="s">
        <v>21</v>
      </c>
      <c r="C40" t="s">
        <v>80</v>
      </c>
      <c r="D40" t="s">
        <v>81</v>
      </c>
      <c r="E40" t="s">
        <v>64</v>
      </c>
      <c r="F40" t="s">
        <v>25</v>
      </c>
      <c r="G40" t="s">
        <v>65</v>
      </c>
      <c r="H40" t="s">
        <v>27</v>
      </c>
      <c r="I40" t="s">
        <v>82</v>
      </c>
      <c r="J40" t="s">
        <v>45</v>
      </c>
      <c r="K40" t="s">
        <v>46</v>
      </c>
      <c r="L40" t="s">
        <v>38</v>
      </c>
      <c r="M40" s="1">
        <v>129221.17</v>
      </c>
      <c r="N40">
        <v>0</v>
      </c>
      <c r="O40">
        <v>1</v>
      </c>
      <c r="P40">
        <v>91.25</v>
      </c>
      <c r="Q40">
        <v>0</v>
      </c>
      <c r="R40" s="2">
        <v>1</v>
      </c>
      <c r="S40">
        <v>1</v>
      </c>
      <c r="T40">
        <v>0</v>
      </c>
    </row>
    <row r="41" spans="1:20" x14ac:dyDescent="0.2">
      <c r="A41" t="s">
        <v>361</v>
      </c>
      <c r="B41" t="s">
        <v>21</v>
      </c>
      <c r="C41" t="s">
        <v>362</v>
      </c>
      <c r="D41" t="s">
        <v>363</v>
      </c>
      <c r="E41" t="s">
        <v>64</v>
      </c>
      <c r="F41" t="s">
        <v>25</v>
      </c>
      <c r="G41" t="s">
        <v>65</v>
      </c>
      <c r="H41" t="s">
        <v>319</v>
      </c>
      <c r="I41" t="s">
        <v>82</v>
      </c>
      <c r="J41" t="s">
        <v>45</v>
      </c>
      <c r="K41" t="s">
        <v>46</v>
      </c>
      <c r="L41" t="s">
        <v>38</v>
      </c>
      <c r="M41" s="1">
        <v>128121.72</v>
      </c>
      <c r="N41">
        <v>0</v>
      </c>
      <c r="O41">
        <v>1</v>
      </c>
      <c r="P41">
        <v>91.25</v>
      </c>
      <c r="Q41">
        <v>0</v>
      </c>
      <c r="R41" s="2">
        <v>1</v>
      </c>
      <c r="S41">
        <v>1</v>
      </c>
      <c r="T41">
        <v>0</v>
      </c>
    </row>
    <row r="42" spans="1:20" x14ac:dyDescent="0.2">
      <c r="A42" t="s">
        <v>932</v>
      </c>
      <c r="B42" t="s">
        <v>158</v>
      </c>
      <c r="C42" t="s">
        <v>1257</v>
      </c>
      <c r="D42" t="s">
        <v>1258</v>
      </c>
      <c r="E42" t="s">
        <v>64</v>
      </c>
      <c r="F42" t="s">
        <v>25</v>
      </c>
      <c r="G42" t="s">
        <v>65</v>
      </c>
      <c r="H42" t="s">
        <v>1071</v>
      </c>
      <c r="I42" t="s">
        <v>1259</v>
      </c>
      <c r="J42" t="s">
        <v>29</v>
      </c>
      <c r="K42" t="s">
        <v>46</v>
      </c>
      <c r="L42" t="s">
        <v>38</v>
      </c>
      <c r="M42" s="1">
        <v>0</v>
      </c>
      <c r="N42">
        <v>0</v>
      </c>
      <c r="O42">
        <v>0</v>
      </c>
      <c r="P42">
        <v>91.25</v>
      </c>
      <c r="Q42">
        <v>0</v>
      </c>
      <c r="R42" s="2">
        <v>0</v>
      </c>
      <c r="S42">
        <v>1</v>
      </c>
      <c r="T42">
        <v>1</v>
      </c>
    </row>
    <row r="43" spans="1:20" x14ac:dyDescent="0.2">
      <c r="A43" t="s">
        <v>1575</v>
      </c>
      <c r="B43" t="s">
        <v>262</v>
      </c>
      <c r="C43" t="s">
        <v>1576</v>
      </c>
      <c r="D43" t="s">
        <v>1577</v>
      </c>
      <c r="E43" t="s">
        <v>64</v>
      </c>
      <c r="F43" t="s">
        <v>25</v>
      </c>
      <c r="G43" t="s">
        <v>65</v>
      </c>
      <c r="H43" t="s">
        <v>1410</v>
      </c>
      <c r="I43" t="s">
        <v>1578</v>
      </c>
      <c r="J43" t="s">
        <v>45</v>
      </c>
      <c r="K43" t="s">
        <v>46</v>
      </c>
      <c r="L43" t="s">
        <v>556</v>
      </c>
      <c r="M43" s="1">
        <v>0</v>
      </c>
      <c r="N43">
        <v>0</v>
      </c>
      <c r="O43">
        <v>0</v>
      </c>
      <c r="P43">
        <v>91.25</v>
      </c>
      <c r="Q43">
        <v>1</v>
      </c>
      <c r="R43" s="2">
        <v>0</v>
      </c>
      <c r="S43">
        <v>0</v>
      </c>
      <c r="T43">
        <v>0</v>
      </c>
    </row>
    <row r="44" spans="1:20" x14ac:dyDescent="0.2">
      <c r="A44" t="s">
        <v>61</v>
      </c>
      <c r="B44" t="s">
        <v>21</v>
      </c>
      <c r="C44" t="s">
        <v>62</v>
      </c>
      <c r="D44" t="s">
        <v>63</v>
      </c>
      <c r="E44" t="s">
        <v>64</v>
      </c>
      <c r="F44" t="s">
        <v>25</v>
      </c>
      <c r="G44" t="s">
        <v>65</v>
      </c>
      <c r="H44" t="s">
        <v>27</v>
      </c>
      <c r="I44" t="s">
        <v>66</v>
      </c>
      <c r="J44" t="s">
        <v>29</v>
      </c>
      <c r="K44" t="s">
        <v>46</v>
      </c>
      <c r="L44" t="s">
        <v>38</v>
      </c>
      <c r="M44" s="1">
        <v>0</v>
      </c>
      <c r="N44">
        <v>0</v>
      </c>
      <c r="O44">
        <v>0</v>
      </c>
      <c r="P44">
        <v>91.25</v>
      </c>
      <c r="Q44">
        <v>0</v>
      </c>
      <c r="R44" s="2">
        <v>0</v>
      </c>
      <c r="S44">
        <v>1</v>
      </c>
      <c r="T44">
        <v>1</v>
      </c>
    </row>
    <row r="45" spans="1:20" x14ac:dyDescent="0.2">
      <c r="A45" t="s">
        <v>521</v>
      </c>
      <c r="B45" t="s">
        <v>262</v>
      </c>
      <c r="C45" t="s">
        <v>522</v>
      </c>
      <c r="D45" t="s">
        <v>523</v>
      </c>
      <c r="E45" t="s">
        <v>64</v>
      </c>
      <c r="F45" t="s">
        <v>25</v>
      </c>
      <c r="G45" t="s">
        <v>65</v>
      </c>
      <c r="H45" t="s">
        <v>319</v>
      </c>
      <c r="I45" t="s">
        <v>66</v>
      </c>
      <c r="J45" t="s">
        <v>29</v>
      </c>
      <c r="K45" t="s">
        <v>46</v>
      </c>
      <c r="L45" t="s">
        <v>134</v>
      </c>
      <c r="M45" s="1">
        <v>0</v>
      </c>
      <c r="N45">
        <v>0</v>
      </c>
      <c r="O45">
        <v>0</v>
      </c>
      <c r="P45">
        <v>91.25</v>
      </c>
      <c r="Q45">
        <v>0</v>
      </c>
      <c r="R45" s="2">
        <v>0</v>
      </c>
      <c r="S45">
        <v>1</v>
      </c>
      <c r="T45">
        <v>1</v>
      </c>
    </row>
    <row r="46" spans="1:20" x14ac:dyDescent="0.2">
      <c r="A46" t="s">
        <v>361</v>
      </c>
      <c r="B46" t="s">
        <v>21</v>
      </c>
      <c r="C46" t="s">
        <v>603</v>
      </c>
      <c r="D46" t="s">
        <v>604</v>
      </c>
      <c r="E46" t="s">
        <v>64</v>
      </c>
      <c r="F46" t="s">
        <v>25</v>
      </c>
      <c r="G46" t="s">
        <v>65</v>
      </c>
      <c r="H46" t="s">
        <v>550</v>
      </c>
      <c r="I46" t="s">
        <v>66</v>
      </c>
      <c r="J46" t="s">
        <v>29</v>
      </c>
      <c r="K46" t="s">
        <v>46</v>
      </c>
      <c r="L46" t="s">
        <v>38</v>
      </c>
      <c r="M46" s="1">
        <v>0</v>
      </c>
      <c r="N46">
        <v>0</v>
      </c>
      <c r="O46">
        <v>0</v>
      </c>
      <c r="P46">
        <v>91.25</v>
      </c>
      <c r="Q46">
        <v>0</v>
      </c>
      <c r="R46" s="2">
        <v>0</v>
      </c>
      <c r="S46">
        <v>1</v>
      </c>
      <c r="T46">
        <v>1</v>
      </c>
    </row>
    <row r="47" spans="1:20" x14ac:dyDescent="0.2">
      <c r="A47" t="s">
        <v>61</v>
      </c>
      <c r="B47" t="s">
        <v>21</v>
      </c>
      <c r="C47" t="s">
        <v>605</v>
      </c>
      <c r="D47" t="s">
        <v>606</v>
      </c>
      <c r="E47" t="s">
        <v>64</v>
      </c>
      <c r="F47" t="s">
        <v>25</v>
      </c>
      <c r="G47" t="s">
        <v>65</v>
      </c>
      <c r="H47" t="s">
        <v>550</v>
      </c>
      <c r="I47" t="s">
        <v>66</v>
      </c>
      <c r="J47" t="s">
        <v>29</v>
      </c>
      <c r="K47" t="s">
        <v>46</v>
      </c>
      <c r="L47" t="s">
        <v>38</v>
      </c>
      <c r="M47" s="1">
        <v>0</v>
      </c>
      <c r="N47">
        <v>0</v>
      </c>
      <c r="O47">
        <v>0</v>
      </c>
      <c r="P47">
        <v>91.25</v>
      </c>
      <c r="Q47">
        <v>0</v>
      </c>
      <c r="R47" s="2">
        <v>0</v>
      </c>
      <c r="S47">
        <v>1</v>
      </c>
      <c r="T47">
        <v>1</v>
      </c>
    </row>
    <row r="48" spans="1:20" x14ac:dyDescent="0.2">
      <c r="A48" t="s">
        <v>179</v>
      </c>
      <c r="B48" t="s">
        <v>158</v>
      </c>
      <c r="C48" t="s">
        <v>920</v>
      </c>
      <c r="D48" t="s">
        <v>921</v>
      </c>
      <c r="E48" t="s">
        <v>64</v>
      </c>
      <c r="F48" t="s">
        <v>25</v>
      </c>
      <c r="G48" t="s">
        <v>65</v>
      </c>
      <c r="H48" t="s">
        <v>748</v>
      </c>
      <c r="I48" t="s">
        <v>66</v>
      </c>
      <c r="J48" t="s">
        <v>29</v>
      </c>
      <c r="K48" t="s">
        <v>46</v>
      </c>
      <c r="L48" t="s">
        <v>31</v>
      </c>
      <c r="M48" s="1">
        <v>110784.71</v>
      </c>
      <c r="N48">
        <v>1</v>
      </c>
      <c r="O48">
        <v>1</v>
      </c>
      <c r="P48">
        <v>91.25</v>
      </c>
      <c r="Q48">
        <v>0</v>
      </c>
      <c r="R48" s="2">
        <v>1</v>
      </c>
      <c r="S48">
        <v>0</v>
      </c>
      <c r="T48">
        <v>0</v>
      </c>
    </row>
    <row r="49" spans="1:20" x14ac:dyDescent="0.2">
      <c r="A49" t="s">
        <v>20</v>
      </c>
      <c r="B49" t="s">
        <v>250</v>
      </c>
      <c r="C49" t="s">
        <v>985</v>
      </c>
      <c r="D49" t="s">
        <v>986</v>
      </c>
      <c r="E49" t="s">
        <v>64</v>
      </c>
      <c r="F49" t="s">
        <v>25</v>
      </c>
      <c r="G49" t="s">
        <v>65</v>
      </c>
      <c r="H49" t="s">
        <v>748</v>
      </c>
      <c r="I49" t="s">
        <v>66</v>
      </c>
      <c r="J49" t="s">
        <v>29</v>
      </c>
      <c r="K49" t="s">
        <v>46</v>
      </c>
      <c r="L49" t="s">
        <v>38</v>
      </c>
      <c r="M49" s="1">
        <v>0</v>
      </c>
      <c r="N49">
        <v>0</v>
      </c>
      <c r="O49">
        <v>0</v>
      </c>
      <c r="P49">
        <v>91.25</v>
      </c>
      <c r="Q49">
        <v>0</v>
      </c>
      <c r="R49" s="2">
        <v>0</v>
      </c>
      <c r="S49">
        <v>1</v>
      </c>
      <c r="T49">
        <v>1</v>
      </c>
    </row>
    <row r="50" spans="1:20" x14ac:dyDescent="0.2">
      <c r="A50" t="s">
        <v>153</v>
      </c>
      <c r="B50" t="s">
        <v>21</v>
      </c>
      <c r="C50" t="s">
        <v>1099</v>
      </c>
      <c r="D50" t="s">
        <v>1100</v>
      </c>
      <c r="E50" t="s">
        <v>64</v>
      </c>
      <c r="F50" t="s">
        <v>25</v>
      </c>
      <c r="G50" t="s">
        <v>65</v>
      </c>
      <c r="H50" t="s">
        <v>1071</v>
      </c>
      <c r="I50" t="s">
        <v>66</v>
      </c>
      <c r="J50" t="s">
        <v>29</v>
      </c>
      <c r="K50" t="s">
        <v>46</v>
      </c>
      <c r="L50" t="s">
        <v>38</v>
      </c>
      <c r="M50" s="1">
        <v>0</v>
      </c>
      <c r="N50">
        <v>0</v>
      </c>
      <c r="O50">
        <v>0</v>
      </c>
      <c r="P50">
        <v>91.25</v>
      </c>
      <c r="Q50">
        <v>0</v>
      </c>
      <c r="R50" s="2">
        <v>0</v>
      </c>
      <c r="S50">
        <v>1</v>
      </c>
      <c r="T50">
        <v>1</v>
      </c>
    </row>
    <row r="51" spans="1:20" x14ac:dyDescent="0.2">
      <c r="A51" t="s">
        <v>490</v>
      </c>
      <c r="B51" t="s">
        <v>158</v>
      </c>
      <c r="C51" t="s">
        <v>1225</v>
      </c>
      <c r="D51" t="s">
        <v>1226</v>
      </c>
      <c r="E51" t="s">
        <v>64</v>
      </c>
      <c r="F51" t="s">
        <v>25</v>
      </c>
      <c r="G51" t="s">
        <v>65</v>
      </c>
      <c r="H51" t="s">
        <v>1071</v>
      </c>
      <c r="I51" t="s">
        <v>66</v>
      </c>
      <c r="J51" t="s">
        <v>29</v>
      </c>
      <c r="K51" t="s">
        <v>46</v>
      </c>
      <c r="L51" t="s">
        <v>38</v>
      </c>
      <c r="M51" s="1">
        <v>0</v>
      </c>
      <c r="N51">
        <v>0</v>
      </c>
      <c r="O51">
        <v>0</v>
      </c>
      <c r="P51">
        <v>91.25</v>
      </c>
      <c r="Q51">
        <v>0</v>
      </c>
      <c r="R51" s="2">
        <v>0</v>
      </c>
      <c r="S51">
        <v>1</v>
      </c>
      <c r="T51">
        <v>1</v>
      </c>
    </row>
    <row r="52" spans="1:20" x14ac:dyDescent="0.2">
      <c r="A52" t="s">
        <v>212</v>
      </c>
      <c r="B52" t="s">
        <v>158</v>
      </c>
      <c r="C52" t="s">
        <v>1273</v>
      </c>
      <c r="D52" t="s">
        <v>1274</v>
      </c>
      <c r="E52" t="s">
        <v>64</v>
      </c>
      <c r="F52" t="s">
        <v>25</v>
      </c>
      <c r="G52" t="s">
        <v>65</v>
      </c>
      <c r="H52" t="s">
        <v>1071</v>
      </c>
      <c r="I52" t="s">
        <v>66</v>
      </c>
      <c r="J52" t="s">
        <v>29</v>
      </c>
      <c r="K52" t="s">
        <v>46</v>
      </c>
      <c r="L52" t="s">
        <v>31</v>
      </c>
      <c r="M52" s="1">
        <v>96585.2</v>
      </c>
      <c r="N52">
        <v>1</v>
      </c>
      <c r="O52">
        <v>1</v>
      </c>
      <c r="P52">
        <v>91.25</v>
      </c>
      <c r="Q52">
        <v>0</v>
      </c>
      <c r="R52" s="2">
        <v>1</v>
      </c>
      <c r="S52">
        <v>0</v>
      </c>
      <c r="T52">
        <v>0</v>
      </c>
    </row>
    <row r="53" spans="1:20" x14ac:dyDescent="0.2">
      <c r="A53" t="s">
        <v>20</v>
      </c>
      <c r="B53" t="s">
        <v>250</v>
      </c>
      <c r="C53" t="s">
        <v>1351</v>
      </c>
      <c r="D53" t="s">
        <v>1352</v>
      </c>
      <c r="E53" t="s">
        <v>64</v>
      </c>
      <c r="F53" t="s">
        <v>25</v>
      </c>
      <c r="G53" t="s">
        <v>65</v>
      </c>
      <c r="H53" t="s">
        <v>1071</v>
      </c>
      <c r="I53" t="s">
        <v>66</v>
      </c>
      <c r="J53" t="s">
        <v>29</v>
      </c>
      <c r="K53" t="s">
        <v>46</v>
      </c>
      <c r="L53" t="s">
        <v>556</v>
      </c>
      <c r="M53" s="1">
        <v>0</v>
      </c>
      <c r="N53">
        <v>0</v>
      </c>
      <c r="O53">
        <v>0</v>
      </c>
      <c r="P53">
        <v>91.25</v>
      </c>
      <c r="Q53">
        <v>1</v>
      </c>
      <c r="R53" s="2">
        <v>0</v>
      </c>
      <c r="S53">
        <v>0</v>
      </c>
      <c r="T53">
        <v>0</v>
      </c>
    </row>
    <row r="54" spans="1:20" x14ac:dyDescent="0.2">
      <c r="A54" t="s">
        <v>1031</v>
      </c>
      <c r="B54" t="s">
        <v>262</v>
      </c>
      <c r="C54" t="s">
        <v>1363</v>
      </c>
      <c r="D54" t="s">
        <v>1364</v>
      </c>
      <c r="E54" t="s">
        <v>64</v>
      </c>
      <c r="F54" t="s">
        <v>25</v>
      </c>
      <c r="G54" t="s">
        <v>65</v>
      </c>
      <c r="H54" t="s">
        <v>1071</v>
      </c>
      <c r="I54" t="s">
        <v>66</v>
      </c>
      <c r="J54" t="s">
        <v>29</v>
      </c>
      <c r="K54" t="s">
        <v>46</v>
      </c>
      <c r="L54" t="s">
        <v>38</v>
      </c>
      <c r="M54" s="1">
        <v>0</v>
      </c>
      <c r="N54">
        <v>0</v>
      </c>
      <c r="O54">
        <v>0</v>
      </c>
      <c r="P54">
        <v>91.25</v>
      </c>
      <c r="Q54">
        <v>0</v>
      </c>
      <c r="R54" s="2">
        <v>0</v>
      </c>
      <c r="S54">
        <v>1</v>
      </c>
      <c r="T54">
        <v>1</v>
      </c>
    </row>
    <row r="55" spans="1:20" x14ac:dyDescent="0.2">
      <c r="A55" t="s">
        <v>1371</v>
      </c>
      <c r="B55" t="s">
        <v>262</v>
      </c>
      <c r="C55" t="s">
        <v>1378</v>
      </c>
      <c r="D55" t="s">
        <v>1379</v>
      </c>
      <c r="E55" t="s">
        <v>64</v>
      </c>
      <c r="F55" t="s">
        <v>25</v>
      </c>
      <c r="G55" t="s">
        <v>65</v>
      </c>
      <c r="H55" t="s">
        <v>1071</v>
      </c>
      <c r="I55" t="s">
        <v>66</v>
      </c>
      <c r="J55" t="s">
        <v>29</v>
      </c>
      <c r="K55" t="s">
        <v>46</v>
      </c>
      <c r="L55" t="s">
        <v>556</v>
      </c>
      <c r="M55" s="1">
        <v>0</v>
      </c>
      <c r="N55">
        <v>0</v>
      </c>
      <c r="O55">
        <v>0</v>
      </c>
      <c r="P55">
        <v>91.25</v>
      </c>
      <c r="Q55">
        <v>0</v>
      </c>
      <c r="R55" s="2">
        <v>0</v>
      </c>
      <c r="S55">
        <v>0</v>
      </c>
      <c r="T55">
        <v>1</v>
      </c>
    </row>
    <row r="56" spans="1:20" x14ac:dyDescent="0.2">
      <c r="A56" t="s">
        <v>1062</v>
      </c>
      <c r="B56" t="s">
        <v>262</v>
      </c>
      <c r="C56" t="s">
        <v>1389</v>
      </c>
      <c r="D56" t="s">
        <v>1390</v>
      </c>
      <c r="E56" t="s">
        <v>64</v>
      </c>
      <c r="F56" t="s">
        <v>25</v>
      </c>
      <c r="G56" t="s">
        <v>65</v>
      </c>
      <c r="H56" t="s">
        <v>1071</v>
      </c>
      <c r="I56" t="s">
        <v>66</v>
      </c>
      <c r="J56" t="s">
        <v>29</v>
      </c>
      <c r="K56" t="s">
        <v>46</v>
      </c>
      <c r="L56" t="s">
        <v>556</v>
      </c>
      <c r="M56" s="1">
        <v>0</v>
      </c>
      <c r="N56">
        <v>0</v>
      </c>
      <c r="O56">
        <v>0</v>
      </c>
      <c r="P56">
        <v>91.25</v>
      </c>
      <c r="Q56">
        <v>1</v>
      </c>
      <c r="R56" s="2">
        <v>0</v>
      </c>
      <c r="S56">
        <v>0</v>
      </c>
      <c r="T56">
        <v>0</v>
      </c>
    </row>
    <row r="57" spans="1:20" x14ac:dyDescent="0.2">
      <c r="A57" t="s">
        <v>1417</v>
      </c>
      <c r="B57" t="s">
        <v>21</v>
      </c>
      <c r="C57" t="s">
        <v>1418</v>
      </c>
      <c r="D57" t="s">
        <v>1419</v>
      </c>
      <c r="E57" t="s">
        <v>64</v>
      </c>
      <c r="F57" t="s">
        <v>25</v>
      </c>
      <c r="G57" t="s">
        <v>65</v>
      </c>
      <c r="H57" t="s">
        <v>1410</v>
      </c>
      <c r="I57" t="s">
        <v>66</v>
      </c>
      <c r="J57" t="s">
        <v>29</v>
      </c>
      <c r="K57" t="s">
        <v>46</v>
      </c>
      <c r="L57" t="s">
        <v>31</v>
      </c>
      <c r="M57" s="1">
        <v>0</v>
      </c>
      <c r="N57">
        <v>1</v>
      </c>
      <c r="O57">
        <v>1</v>
      </c>
      <c r="P57">
        <v>91.25</v>
      </c>
      <c r="Q57">
        <v>0</v>
      </c>
      <c r="R57" s="2">
        <v>1</v>
      </c>
      <c r="S57">
        <v>0</v>
      </c>
      <c r="T57">
        <v>0</v>
      </c>
    </row>
    <row r="58" spans="1:20" x14ac:dyDescent="0.2">
      <c r="A58" t="s">
        <v>1498</v>
      </c>
      <c r="B58" t="s">
        <v>158</v>
      </c>
      <c r="C58" t="s">
        <v>1499</v>
      </c>
      <c r="D58" t="s">
        <v>1419</v>
      </c>
      <c r="E58" t="s">
        <v>64</v>
      </c>
      <c r="F58" t="s">
        <v>25</v>
      </c>
      <c r="G58" t="s">
        <v>65</v>
      </c>
      <c r="H58" t="s">
        <v>1410</v>
      </c>
      <c r="I58" t="s">
        <v>66</v>
      </c>
      <c r="J58" t="s">
        <v>29</v>
      </c>
      <c r="K58" t="s">
        <v>46</v>
      </c>
      <c r="L58" t="s">
        <v>556</v>
      </c>
      <c r="M58" s="1">
        <v>0</v>
      </c>
      <c r="N58">
        <v>0</v>
      </c>
      <c r="O58">
        <v>0</v>
      </c>
      <c r="P58">
        <v>91.25</v>
      </c>
      <c r="Q58">
        <v>1</v>
      </c>
      <c r="R58" s="2">
        <v>0</v>
      </c>
      <c r="S58">
        <v>0</v>
      </c>
      <c r="T58">
        <v>0</v>
      </c>
    </row>
    <row r="59" spans="1:20" x14ac:dyDescent="0.2">
      <c r="A59" t="s">
        <v>698</v>
      </c>
      <c r="B59" t="s">
        <v>262</v>
      </c>
      <c r="C59" t="s">
        <v>1573</v>
      </c>
      <c r="D59" t="s">
        <v>1574</v>
      </c>
      <c r="E59" t="s">
        <v>64</v>
      </c>
      <c r="F59" t="s">
        <v>25</v>
      </c>
      <c r="G59" t="s">
        <v>65</v>
      </c>
      <c r="H59" t="s">
        <v>1410</v>
      </c>
      <c r="I59" t="s">
        <v>66</v>
      </c>
      <c r="J59" t="s">
        <v>29</v>
      </c>
      <c r="K59" t="s">
        <v>46</v>
      </c>
      <c r="L59" t="s">
        <v>556</v>
      </c>
      <c r="M59" s="1">
        <v>0</v>
      </c>
      <c r="N59">
        <v>0</v>
      </c>
      <c r="O59">
        <v>0</v>
      </c>
      <c r="P59">
        <v>91.25</v>
      </c>
      <c r="Q59">
        <v>1</v>
      </c>
      <c r="R59" s="2">
        <v>0</v>
      </c>
      <c r="S59">
        <v>0</v>
      </c>
      <c r="T59">
        <v>0</v>
      </c>
    </row>
    <row r="60" spans="1:20" x14ac:dyDescent="0.2">
      <c r="A60" t="s">
        <v>1156</v>
      </c>
      <c r="B60" t="s">
        <v>21</v>
      </c>
      <c r="C60" t="s">
        <v>1157</v>
      </c>
      <c r="D60" t="s">
        <v>1158</v>
      </c>
      <c r="E60" t="s">
        <v>64</v>
      </c>
      <c r="F60" t="s">
        <v>25</v>
      </c>
      <c r="G60" t="s">
        <v>65</v>
      </c>
      <c r="H60" t="s">
        <v>1071</v>
      </c>
      <c r="I60" t="s">
        <v>1159</v>
      </c>
      <c r="J60" t="s">
        <v>45</v>
      </c>
      <c r="K60" t="s">
        <v>46</v>
      </c>
      <c r="L60" t="s">
        <v>556</v>
      </c>
      <c r="M60" s="1">
        <v>0</v>
      </c>
      <c r="N60">
        <v>0</v>
      </c>
      <c r="O60">
        <v>0</v>
      </c>
      <c r="P60">
        <v>91.25</v>
      </c>
      <c r="Q60">
        <v>1</v>
      </c>
      <c r="R60" s="2">
        <v>0</v>
      </c>
      <c r="S60">
        <v>0</v>
      </c>
      <c r="T60">
        <v>0</v>
      </c>
    </row>
    <row r="61" spans="1:20" x14ac:dyDescent="0.2">
      <c r="A61" t="s">
        <v>1160</v>
      </c>
      <c r="B61" t="s">
        <v>21</v>
      </c>
      <c r="C61" t="s">
        <v>1161</v>
      </c>
      <c r="D61" t="s">
        <v>1162</v>
      </c>
      <c r="E61" t="s">
        <v>64</v>
      </c>
      <c r="F61" t="s">
        <v>25</v>
      </c>
      <c r="G61" t="s">
        <v>65</v>
      </c>
      <c r="H61" t="s">
        <v>1071</v>
      </c>
      <c r="I61" t="s">
        <v>1159</v>
      </c>
      <c r="J61" t="s">
        <v>45</v>
      </c>
      <c r="K61" t="s">
        <v>46</v>
      </c>
      <c r="L61" t="s">
        <v>556</v>
      </c>
      <c r="M61" s="1">
        <v>0</v>
      </c>
      <c r="N61">
        <v>0</v>
      </c>
      <c r="O61">
        <v>0</v>
      </c>
      <c r="P61">
        <v>91.25</v>
      </c>
      <c r="Q61">
        <v>1</v>
      </c>
      <c r="R61" s="2">
        <v>0</v>
      </c>
      <c r="S61">
        <v>0</v>
      </c>
      <c r="T61">
        <v>0</v>
      </c>
    </row>
    <row r="62" spans="1:20" x14ac:dyDescent="0.2">
      <c r="A62" t="s">
        <v>1171</v>
      </c>
      <c r="B62" t="s">
        <v>21</v>
      </c>
      <c r="C62" t="s">
        <v>1172</v>
      </c>
      <c r="D62" t="s">
        <v>1173</v>
      </c>
      <c r="E62" t="s">
        <v>64</v>
      </c>
      <c r="F62" t="s">
        <v>25</v>
      </c>
      <c r="G62" t="s">
        <v>65</v>
      </c>
      <c r="H62" t="s">
        <v>1071</v>
      </c>
      <c r="I62" t="s">
        <v>1159</v>
      </c>
      <c r="J62" t="s">
        <v>45</v>
      </c>
      <c r="K62" t="s">
        <v>46</v>
      </c>
      <c r="L62" t="s">
        <v>556</v>
      </c>
      <c r="M62" s="1">
        <v>0</v>
      </c>
      <c r="N62">
        <v>0</v>
      </c>
      <c r="O62">
        <v>0</v>
      </c>
      <c r="P62">
        <v>91.25</v>
      </c>
      <c r="Q62">
        <v>1</v>
      </c>
      <c r="R62" s="2">
        <v>0</v>
      </c>
      <c r="S62">
        <v>0</v>
      </c>
      <c r="T62">
        <v>0</v>
      </c>
    </row>
    <row r="63" spans="1:20" x14ac:dyDescent="0.2">
      <c r="A63" t="s">
        <v>1177</v>
      </c>
      <c r="B63" t="s">
        <v>21</v>
      </c>
      <c r="C63" t="s">
        <v>1178</v>
      </c>
      <c r="D63" t="s">
        <v>1179</v>
      </c>
      <c r="E63" t="s">
        <v>64</v>
      </c>
      <c r="F63" t="s">
        <v>25</v>
      </c>
      <c r="G63" t="s">
        <v>65</v>
      </c>
      <c r="H63" t="s">
        <v>1071</v>
      </c>
      <c r="I63" t="s">
        <v>1159</v>
      </c>
      <c r="J63" t="s">
        <v>45</v>
      </c>
      <c r="K63" t="s">
        <v>46</v>
      </c>
      <c r="L63" t="s">
        <v>556</v>
      </c>
      <c r="M63" s="1">
        <v>0</v>
      </c>
      <c r="N63">
        <v>0</v>
      </c>
      <c r="O63">
        <v>0</v>
      </c>
      <c r="P63">
        <v>91.25</v>
      </c>
      <c r="Q63">
        <v>1</v>
      </c>
      <c r="R63" s="2">
        <v>0</v>
      </c>
      <c r="S63">
        <v>0</v>
      </c>
      <c r="T63">
        <v>0</v>
      </c>
    </row>
    <row r="64" spans="1:20" x14ac:dyDescent="0.2">
      <c r="A64" t="s">
        <v>1391</v>
      </c>
      <c r="B64" t="s">
        <v>262</v>
      </c>
      <c r="C64" t="s">
        <v>1392</v>
      </c>
      <c r="D64" t="s">
        <v>1393</v>
      </c>
      <c r="E64" t="s">
        <v>64</v>
      </c>
      <c r="F64" t="s">
        <v>25</v>
      </c>
      <c r="G64" t="s">
        <v>65</v>
      </c>
      <c r="H64" t="s">
        <v>1071</v>
      </c>
      <c r="I64" t="s">
        <v>1159</v>
      </c>
      <c r="J64" t="s">
        <v>45</v>
      </c>
      <c r="K64" t="s">
        <v>46</v>
      </c>
      <c r="L64" t="s">
        <v>556</v>
      </c>
      <c r="M64" s="1">
        <v>0</v>
      </c>
      <c r="N64">
        <v>0</v>
      </c>
      <c r="O64">
        <v>0</v>
      </c>
      <c r="P64">
        <v>91.25</v>
      </c>
      <c r="Q64">
        <v>1</v>
      </c>
      <c r="R64" s="2">
        <v>0</v>
      </c>
      <c r="S64">
        <v>0</v>
      </c>
      <c r="T64">
        <v>0</v>
      </c>
    </row>
    <row r="65" spans="1:20" x14ac:dyDescent="0.2">
      <c r="A65" t="s">
        <v>120</v>
      </c>
      <c r="B65" t="s">
        <v>21</v>
      </c>
      <c r="C65" t="s">
        <v>586</v>
      </c>
      <c r="D65" t="s">
        <v>587</v>
      </c>
      <c r="E65" t="s">
        <v>64</v>
      </c>
      <c r="F65" t="s">
        <v>25</v>
      </c>
      <c r="G65" t="s">
        <v>65</v>
      </c>
      <c r="H65" t="s">
        <v>550</v>
      </c>
      <c r="I65" t="s">
        <v>588</v>
      </c>
      <c r="J65" t="s">
        <v>45</v>
      </c>
      <c r="K65" t="s">
        <v>46</v>
      </c>
      <c r="L65" t="s">
        <v>31</v>
      </c>
      <c r="M65" s="1">
        <v>153180.07999999999</v>
      </c>
      <c r="N65">
        <v>1</v>
      </c>
      <c r="O65">
        <v>1</v>
      </c>
      <c r="P65">
        <v>91.25</v>
      </c>
      <c r="Q65">
        <v>0</v>
      </c>
      <c r="R65" s="2">
        <v>1</v>
      </c>
      <c r="S65">
        <v>0</v>
      </c>
      <c r="T65">
        <v>0</v>
      </c>
    </row>
    <row r="66" spans="1:20" x14ac:dyDescent="0.2">
      <c r="A66" t="s">
        <v>547</v>
      </c>
      <c r="B66" t="s">
        <v>21</v>
      </c>
      <c r="C66" t="s">
        <v>1415</v>
      </c>
      <c r="D66" t="s">
        <v>1416</v>
      </c>
      <c r="E66" t="s">
        <v>64</v>
      </c>
      <c r="F66" t="s">
        <v>25</v>
      </c>
      <c r="G66" t="s">
        <v>65</v>
      </c>
      <c r="H66" t="s">
        <v>1410</v>
      </c>
      <c r="I66" t="s">
        <v>588</v>
      </c>
      <c r="J66" t="s">
        <v>45</v>
      </c>
      <c r="K66" t="s">
        <v>46</v>
      </c>
      <c r="L66" t="s">
        <v>556</v>
      </c>
      <c r="M66" s="1">
        <v>0</v>
      </c>
      <c r="N66">
        <v>0</v>
      </c>
      <c r="O66">
        <v>0</v>
      </c>
      <c r="P66">
        <v>91.25</v>
      </c>
      <c r="Q66">
        <v>1</v>
      </c>
      <c r="R66" s="2">
        <v>0</v>
      </c>
      <c r="S66">
        <v>0</v>
      </c>
      <c r="T66">
        <v>0</v>
      </c>
    </row>
    <row r="67" spans="1:20" x14ac:dyDescent="0.2">
      <c r="A67" t="s">
        <v>392</v>
      </c>
      <c r="B67" t="s">
        <v>21</v>
      </c>
      <c r="C67" t="s">
        <v>1424</v>
      </c>
      <c r="D67" t="s">
        <v>1425</v>
      </c>
      <c r="E67" t="s">
        <v>64</v>
      </c>
      <c r="F67" t="s">
        <v>25</v>
      </c>
      <c r="G67" t="s">
        <v>65</v>
      </c>
      <c r="H67" t="s">
        <v>1410</v>
      </c>
      <c r="I67" t="s">
        <v>588</v>
      </c>
      <c r="J67" t="s">
        <v>45</v>
      </c>
      <c r="K67" t="s">
        <v>46</v>
      </c>
      <c r="L67" t="s">
        <v>556</v>
      </c>
      <c r="M67" s="1">
        <v>0</v>
      </c>
      <c r="N67">
        <v>0</v>
      </c>
      <c r="O67">
        <v>0</v>
      </c>
      <c r="P67">
        <v>91.25</v>
      </c>
      <c r="Q67">
        <v>1</v>
      </c>
      <c r="R67" s="2">
        <v>0</v>
      </c>
      <c r="S67">
        <v>0</v>
      </c>
      <c r="T67">
        <v>0</v>
      </c>
    </row>
    <row r="68" spans="1:20" x14ac:dyDescent="0.2">
      <c r="A68" t="s">
        <v>1252</v>
      </c>
      <c r="B68" t="s">
        <v>158</v>
      </c>
      <c r="C68" t="s">
        <v>1500</v>
      </c>
      <c r="D68" t="s">
        <v>1501</v>
      </c>
      <c r="E68" t="s">
        <v>64</v>
      </c>
      <c r="F68" t="s">
        <v>25</v>
      </c>
      <c r="G68" t="s">
        <v>65</v>
      </c>
      <c r="H68" t="s">
        <v>1410</v>
      </c>
      <c r="I68" t="s">
        <v>588</v>
      </c>
      <c r="J68" t="s">
        <v>45</v>
      </c>
      <c r="K68" t="s">
        <v>46</v>
      </c>
      <c r="L68" t="s">
        <v>556</v>
      </c>
      <c r="M68" s="1">
        <v>0</v>
      </c>
      <c r="N68">
        <v>0</v>
      </c>
      <c r="O68">
        <v>0</v>
      </c>
      <c r="P68">
        <v>91.25</v>
      </c>
      <c r="Q68">
        <v>1</v>
      </c>
      <c r="R68" s="2">
        <v>0</v>
      </c>
      <c r="S68">
        <v>0</v>
      </c>
      <c r="T68">
        <v>0</v>
      </c>
    </row>
    <row r="69" spans="1:20" x14ac:dyDescent="0.2">
      <c r="A69" t="s">
        <v>104</v>
      </c>
      <c r="B69" t="s">
        <v>21</v>
      </c>
      <c r="C69" t="s">
        <v>105</v>
      </c>
      <c r="D69" t="s">
        <v>106</v>
      </c>
      <c r="E69" t="s">
        <v>64</v>
      </c>
      <c r="F69" t="s">
        <v>25</v>
      </c>
      <c r="G69" t="s">
        <v>65</v>
      </c>
      <c r="H69" t="s">
        <v>27</v>
      </c>
      <c r="I69" t="s">
        <v>107</v>
      </c>
      <c r="J69" t="s">
        <v>45</v>
      </c>
      <c r="K69" t="s">
        <v>46</v>
      </c>
      <c r="L69" t="s">
        <v>38</v>
      </c>
      <c r="M69" s="1">
        <v>0</v>
      </c>
      <c r="N69">
        <v>0</v>
      </c>
      <c r="O69">
        <v>0</v>
      </c>
      <c r="P69">
        <v>91.25</v>
      </c>
      <c r="Q69">
        <v>0</v>
      </c>
      <c r="R69" s="2">
        <v>0</v>
      </c>
      <c r="S69">
        <v>1</v>
      </c>
      <c r="T69">
        <v>1</v>
      </c>
    </row>
    <row r="70" spans="1:20" x14ac:dyDescent="0.2">
      <c r="A70" t="s">
        <v>381</v>
      </c>
      <c r="B70" t="s">
        <v>21</v>
      </c>
      <c r="C70" t="s">
        <v>382</v>
      </c>
      <c r="D70" t="s">
        <v>383</v>
      </c>
      <c r="E70" t="s">
        <v>64</v>
      </c>
      <c r="F70" t="s">
        <v>25</v>
      </c>
      <c r="G70" t="s">
        <v>65</v>
      </c>
      <c r="H70" t="s">
        <v>319</v>
      </c>
      <c r="I70" t="s">
        <v>107</v>
      </c>
      <c r="J70" t="s">
        <v>45</v>
      </c>
      <c r="K70" t="s">
        <v>46</v>
      </c>
      <c r="L70" t="s">
        <v>31</v>
      </c>
      <c r="M70" s="1">
        <v>294039.2</v>
      </c>
      <c r="N70">
        <v>1</v>
      </c>
      <c r="O70">
        <v>1</v>
      </c>
      <c r="P70">
        <v>91.25</v>
      </c>
      <c r="Q70">
        <v>0</v>
      </c>
      <c r="R70" s="2">
        <v>1</v>
      </c>
      <c r="S70">
        <v>0</v>
      </c>
      <c r="T70">
        <v>0</v>
      </c>
    </row>
    <row r="71" spans="1:20" x14ac:dyDescent="0.2">
      <c r="A71" t="s">
        <v>535</v>
      </c>
      <c r="B71" t="s">
        <v>262</v>
      </c>
      <c r="C71" t="s">
        <v>536</v>
      </c>
      <c r="D71" t="s">
        <v>537</v>
      </c>
      <c r="E71" t="s">
        <v>64</v>
      </c>
      <c r="F71" t="s">
        <v>25</v>
      </c>
      <c r="G71" t="s">
        <v>65</v>
      </c>
      <c r="H71" t="s">
        <v>319</v>
      </c>
      <c r="I71" t="s">
        <v>107</v>
      </c>
      <c r="J71" t="s">
        <v>45</v>
      </c>
      <c r="K71" t="s">
        <v>46</v>
      </c>
      <c r="L71" t="s">
        <v>31</v>
      </c>
      <c r="M71" s="1">
        <v>306877.59999999998</v>
      </c>
      <c r="N71">
        <v>1</v>
      </c>
      <c r="O71">
        <v>1</v>
      </c>
      <c r="P71">
        <v>91.25</v>
      </c>
      <c r="Q71">
        <v>0</v>
      </c>
      <c r="R71" s="2">
        <v>1</v>
      </c>
      <c r="S71">
        <v>0</v>
      </c>
      <c r="T71">
        <v>0</v>
      </c>
    </row>
    <row r="72" spans="1:20" x14ac:dyDescent="0.2">
      <c r="A72" t="s">
        <v>736</v>
      </c>
      <c r="B72" t="s">
        <v>262</v>
      </c>
      <c r="C72" t="s">
        <v>737</v>
      </c>
      <c r="D72" t="s">
        <v>738</v>
      </c>
      <c r="E72" t="s">
        <v>64</v>
      </c>
      <c r="F72" t="s">
        <v>25</v>
      </c>
      <c r="G72" t="s">
        <v>65</v>
      </c>
      <c r="H72" t="s">
        <v>550</v>
      </c>
      <c r="I72" t="s">
        <v>107</v>
      </c>
      <c r="J72" t="s">
        <v>45</v>
      </c>
      <c r="K72" t="s">
        <v>46</v>
      </c>
      <c r="L72" t="s">
        <v>38</v>
      </c>
      <c r="M72" s="1">
        <v>0</v>
      </c>
      <c r="N72">
        <v>0</v>
      </c>
      <c r="O72">
        <v>0</v>
      </c>
      <c r="P72">
        <v>91.25</v>
      </c>
      <c r="Q72">
        <v>0</v>
      </c>
      <c r="R72" s="2">
        <v>0</v>
      </c>
      <c r="S72">
        <v>1</v>
      </c>
      <c r="T72">
        <v>1</v>
      </c>
    </row>
    <row r="73" spans="1:20" x14ac:dyDescent="0.2">
      <c r="A73" t="s">
        <v>1240</v>
      </c>
      <c r="B73" t="s">
        <v>158</v>
      </c>
      <c r="C73" t="s">
        <v>1241</v>
      </c>
      <c r="D73" t="s">
        <v>1242</v>
      </c>
      <c r="E73" t="s">
        <v>64</v>
      </c>
      <c r="F73" t="s">
        <v>25</v>
      </c>
      <c r="G73" t="s">
        <v>65</v>
      </c>
      <c r="H73" t="s">
        <v>1071</v>
      </c>
      <c r="I73" t="s">
        <v>107</v>
      </c>
      <c r="J73" t="s">
        <v>45</v>
      </c>
      <c r="K73" t="s">
        <v>46</v>
      </c>
      <c r="L73" t="s">
        <v>38</v>
      </c>
      <c r="M73" s="1">
        <v>0</v>
      </c>
      <c r="N73">
        <v>0</v>
      </c>
      <c r="O73">
        <v>0</v>
      </c>
      <c r="P73">
        <v>91.25</v>
      </c>
      <c r="Q73">
        <v>0</v>
      </c>
      <c r="R73" s="2">
        <v>0</v>
      </c>
      <c r="S73">
        <v>1</v>
      </c>
      <c r="T73">
        <v>1</v>
      </c>
    </row>
    <row r="74" spans="1:20" x14ac:dyDescent="0.2">
      <c r="A74" t="s">
        <v>582</v>
      </c>
      <c r="B74" t="s">
        <v>21</v>
      </c>
      <c r="C74" t="s">
        <v>583</v>
      </c>
      <c r="D74" t="s">
        <v>584</v>
      </c>
      <c r="E74" t="s">
        <v>64</v>
      </c>
      <c r="F74" t="s">
        <v>25</v>
      </c>
      <c r="G74" t="s">
        <v>65</v>
      </c>
      <c r="H74" t="s">
        <v>550</v>
      </c>
      <c r="I74" t="s">
        <v>585</v>
      </c>
      <c r="J74" t="s">
        <v>45</v>
      </c>
      <c r="K74" t="s">
        <v>46</v>
      </c>
      <c r="L74" t="s">
        <v>38</v>
      </c>
      <c r="M74" s="1">
        <v>0</v>
      </c>
      <c r="N74">
        <v>0</v>
      </c>
      <c r="O74">
        <v>0</v>
      </c>
      <c r="P74">
        <v>91.25</v>
      </c>
      <c r="Q74">
        <v>0</v>
      </c>
      <c r="R74" s="2">
        <v>0</v>
      </c>
      <c r="S74">
        <v>1</v>
      </c>
      <c r="T74">
        <v>1</v>
      </c>
    </row>
    <row r="75" spans="1:20" x14ac:dyDescent="0.2">
      <c r="A75" t="s">
        <v>120</v>
      </c>
      <c r="B75" t="s">
        <v>21</v>
      </c>
      <c r="C75" t="s">
        <v>1119</v>
      </c>
      <c r="D75" t="s">
        <v>1120</v>
      </c>
      <c r="E75" t="s">
        <v>64</v>
      </c>
      <c r="F75" t="s">
        <v>25</v>
      </c>
      <c r="G75" t="s">
        <v>65</v>
      </c>
      <c r="H75" t="s">
        <v>1071</v>
      </c>
      <c r="I75" t="s">
        <v>585</v>
      </c>
      <c r="J75" t="s">
        <v>45</v>
      </c>
      <c r="K75" t="s">
        <v>46</v>
      </c>
      <c r="L75" t="s">
        <v>38</v>
      </c>
      <c r="M75" s="1">
        <v>0</v>
      </c>
      <c r="N75">
        <v>0</v>
      </c>
      <c r="O75">
        <v>0</v>
      </c>
      <c r="P75">
        <v>91.25</v>
      </c>
      <c r="Q75">
        <v>0</v>
      </c>
      <c r="R75" s="2">
        <v>0</v>
      </c>
      <c r="S75">
        <v>1</v>
      </c>
      <c r="T75">
        <v>1</v>
      </c>
    </row>
    <row r="76" spans="1:20" x14ac:dyDescent="0.2">
      <c r="A76" t="s">
        <v>277</v>
      </c>
      <c r="B76" t="s">
        <v>262</v>
      </c>
      <c r="C76" t="s">
        <v>293</v>
      </c>
      <c r="D76" t="s">
        <v>294</v>
      </c>
      <c r="E76" t="s">
        <v>64</v>
      </c>
      <c r="F76" t="s">
        <v>25</v>
      </c>
      <c r="G76" t="s">
        <v>65</v>
      </c>
      <c r="H76" t="s">
        <v>27</v>
      </c>
      <c r="I76" t="s">
        <v>295</v>
      </c>
      <c r="J76" t="s">
        <v>29</v>
      </c>
      <c r="K76" t="s">
        <v>46</v>
      </c>
      <c r="L76" t="s">
        <v>38</v>
      </c>
      <c r="M76" s="1">
        <v>0</v>
      </c>
      <c r="N76">
        <v>0</v>
      </c>
      <c r="O76">
        <v>0</v>
      </c>
      <c r="P76">
        <v>91.25</v>
      </c>
      <c r="Q76">
        <v>0</v>
      </c>
      <c r="R76" s="2">
        <v>0</v>
      </c>
      <c r="S76">
        <v>1</v>
      </c>
      <c r="T76">
        <v>1</v>
      </c>
    </row>
    <row r="77" spans="1:20" x14ac:dyDescent="0.2">
      <c r="A77" t="s">
        <v>296</v>
      </c>
      <c r="B77" t="s">
        <v>262</v>
      </c>
      <c r="C77" t="s">
        <v>297</v>
      </c>
      <c r="D77" t="s">
        <v>298</v>
      </c>
      <c r="E77" t="s">
        <v>64</v>
      </c>
      <c r="F77" t="s">
        <v>25</v>
      </c>
      <c r="G77" t="s">
        <v>65</v>
      </c>
      <c r="H77" t="s">
        <v>27</v>
      </c>
      <c r="I77" t="s">
        <v>295</v>
      </c>
      <c r="J77" t="s">
        <v>29</v>
      </c>
      <c r="K77" t="s">
        <v>46</v>
      </c>
      <c r="L77" t="s">
        <v>38</v>
      </c>
      <c r="M77" s="1">
        <v>0</v>
      </c>
      <c r="N77">
        <v>0</v>
      </c>
      <c r="O77">
        <v>0</v>
      </c>
      <c r="P77">
        <v>91.25</v>
      </c>
      <c r="Q77">
        <v>0</v>
      </c>
      <c r="R77" s="2">
        <v>0</v>
      </c>
      <c r="S77">
        <v>1</v>
      </c>
      <c r="T77">
        <v>1</v>
      </c>
    </row>
    <row r="78" spans="1:20" x14ac:dyDescent="0.2">
      <c r="A78" t="s">
        <v>20</v>
      </c>
      <c r="B78" t="s">
        <v>250</v>
      </c>
      <c r="C78" t="s">
        <v>257</v>
      </c>
      <c r="D78" t="s">
        <v>258</v>
      </c>
      <c r="E78" t="s">
        <v>64</v>
      </c>
      <c r="F78" t="s">
        <v>25</v>
      </c>
      <c r="G78" t="s">
        <v>65</v>
      </c>
      <c r="H78" t="s">
        <v>27</v>
      </c>
      <c r="I78" t="s">
        <v>259</v>
      </c>
      <c r="J78" t="s">
        <v>45</v>
      </c>
      <c r="K78" t="s">
        <v>46</v>
      </c>
      <c r="L78" t="s">
        <v>38</v>
      </c>
      <c r="M78" s="1">
        <v>0</v>
      </c>
      <c r="N78">
        <v>0</v>
      </c>
      <c r="O78">
        <v>0</v>
      </c>
      <c r="P78">
        <v>91.25</v>
      </c>
      <c r="Q78">
        <v>0</v>
      </c>
      <c r="R78" s="2">
        <v>0</v>
      </c>
      <c r="S78">
        <v>1</v>
      </c>
      <c r="T78">
        <v>1</v>
      </c>
    </row>
    <row r="79" spans="1:20" x14ac:dyDescent="0.2">
      <c r="A79" t="s">
        <v>1526</v>
      </c>
      <c r="B79" t="s">
        <v>158</v>
      </c>
      <c r="C79" t="s">
        <v>1527</v>
      </c>
      <c r="D79" t="s">
        <v>1528</v>
      </c>
      <c r="E79" t="s">
        <v>1529</v>
      </c>
      <c r="F79" t="s">
        <v>25</v>
      </c>
      <c r="G79" t="s">
        <v>1530</v>
      </c>
      <c r="H79" t="s">
        <v>1410</v>
      </c>
      <c r="I79" t="s">
        <v>28</v>
      </c>
      <c r="J79" t="s">
        <v>29</v>
      </c>
      <c r="K79" t="s">
        <v>46</v>
      </c>
      <c r="L79" t="s">
        <v>556</v>
      </c>
      <c r="M79" s="1">
        <v>0</v>
      </c>
      <c r="N79">
        <v>0</v>
      </c>
      <c r="O79">
        <v>0</v>
      </c>
      <c r="P79">
        <v>91.25</v>
      </c>
      <c r="Q79">
        <v>1</v>
      </c>
      <c r="R79" s="2">
        <v>0</v>
      </c>
      <c r="S79">
        <v>0</v>
      </c>
      <c r="T79">
        <v>0</v>
      </c>
    </row>
    <row r="80" spans="1:20" x14ac:dyDescent="0.2">
      <c r="A80" t="s">
        <v>932</v>
      </c>
      <c r="B80" t="s">
        <v>158</v>
      </c>
      <c r="C80" t="s">
        <v>933</v>
      </c>
      <c r="D80" t="s">
        <v>934</v>
      </c>
      <c r="E80" t="s">
        <v>935</v>
      </c>
      <c r="F80" t="s">
        <v>25</v>
      </c>
      <c r="G80" t="s">
        <v>936</v>
      </c>
      <c r="H80" t="s">
        <v>748</v>
      </c>
      <c r="I80" t="s">
        <v>28</v>
      </c>
      <c r="J80" t="s">
        <v>29</v>
      </c>
      <c r="K80" t="s">
        <v>46</v>
      </c>
      <c r="L80" t="s">
        <v>38</v>
      </c>
      <c r="M80" s="1">
        <v>0</v>
      </c>
      <c r="N80">
        <v>0</v>
      </c>
      <c r="O80">
        <v>0</v>
      </c>
      <c r="P80">
        <v>91.25</v>
      </c>
      <c r="Q80">
        <v>0</v>
      </c>
      <c r="R80" s="2">
        <v>0</v>
      </c>
      <c r="S80">
        <v>1</v>
      </c>
      <c r="T80">
        <v>1</v>
      </c>
    </row>
    <row r="81" spans="1:20" x14ac:dyDescent="0.2">
      <c r="A81" t="s">
        <v>39</v>
      </c>
      <c r="B81" t="s">
        <v>21</v>
      </c>
      <c r="C81" t="s">
        <v>149</v>
      </c>
      <c r="D81" t="s">
        <v>150</v>
      </c>
      <c r="E81" t="s">
        <v>151</v>
      </c>
      <c r="F81" t="s">
        <v>58</v>
      </c>
      <c r="G81" t="s">
        <v>152</v>
      </c>
      <c r="H81" t="s">
        <v>27</v>
      </c>
      <c r="I81" t="s">
        <v>28</v>
      </c>
      <c r="J81" t="s">
        <v>29</v>
      </c>
      <c r="K81" t="s">
        <v>46</v>
      </c>
      <c r="L81" t="s">
        <v>134</v>
      </c>
      <c r="M81" s="1">
        <v>0</v>
      </c>
      <c r="N81">
        <v>0</v>
      </c>
      <c r="O81">
        <v>0</v>
      </c>
      <c r="P81">
        <v>91.25</v>
      </c>
      <c r="Q81">
        <v>0</v>
      </c>
      <c r="R81" s="2">
        <v>0</v>
      </c>
      <c r="S81">
        <v>1</v>
      </c>
      <c r="T81">
        <v>1</v>
      </c>
    </row>
    <row r="82" spans="1:20" x14ac:dyDescent="0.2">
      <c r="A82" t="s">
        <v>571</v>
      </c>
      <c r="B82" t="s">
        <v>21</v>
      </c>
      <c r="C82" t="s">
        <v>1446</v>
      </c>
      <c r="D82" t="s">
        <v>1447</v>
      </c>
      <c r="E82" t="s">
        <v>1448</v>
      </c>
      <c r="F82" t="s">
        <v>58</v>
      </c>
      <c r="G82" t="s">
        <v>1449</v>
      </c>
      <c r="H82" t="s">
        <v>1410</v>
      </c>
      <c r="I82" t="s">
        <v>28</v>
      </c>
      <c r="J82" t="s">
        <v>29</v>
      </c>
      <c r="K82" t="s">
        <v>46</v>
      </c>
      <c r="L82" t="s">
        <v>556</v>
      </c>
      <c r="M82" s="1">
        <v>0</v>
      </c>
      <c r="N82">
        <v>0</v>
      </c>
      <c r="O82">
        <v>0</v>
      </c>
      <c r="P82">
        <v>91.25</v>
      </c>
      <c r="Q82">
        <v>1</v>
      </c>
      <c r="R82" s="2">
        <v>0</v>
      </c>
      <c r="S82">
        <v>0</v>
      </c>
      <c r="T82">
        <v>0</v>
      </c>
    </row>
    <row r="83" spans="1:20" x14ac:dyDescent="0.2">
      <c r="A83" t="s">
        <v>705</v>
      </c>
      <c r="B83" t="s">
        <v>262</v>
      </c>
      <c r="C83" t="s">
        <v>1446</v>
      </c>
      <c r="D83" t="s">
        <v>1447</v>
      </c>
      <c r="E83" t="s">
        <v>1448</v>
      </c>
      <c r="F83" t="s">
        <v>58</v>
      </c>
      <c r="G83" t="s">
        <v>1449</v>
      </c>
      <c r="H83" t="s">
        <v>1410</v>
      </c>
      <c r="I83" t="s">
        <v>28</v>
      </c>
      <c r="J83" t="s">
        <v>29</v>
      </c>
      <c r="K83" t="s">
        <v>46</v>
      </c>
      <c r="L83" t="s">
        <v>556</v>
      </c>
      <c r="M83" s="1">
        <v>0</v>
      </c>
      <c r="N83">
        <v>0</v>
      </c>
      <c r="O83">
        <v>0</v>
      </c>
      <c r="P83">
        <v>91.25</v>
      </c>
      <c r="Q83">
        <v>1</v>
      </c>
      <c r="R83" s="2">
        <v>0</v>
      </c>
      <c r="S83">
        <v>0</v>
      </c>
      <c r="T83">
        <v>0</v>
      </c>
    </row>
    <row r="84" spans="1:20" x14ac:dyDescent="0.2">
      <c r="A84" t="s">
        <v>1252</v>
      </c>
      <c r="B84" t="s">
        <v>158</v>
      </c>
      <c r="C84" t="s">
        <v>1314</v>
      </c>
      <c r="D84" t="s">
        <v>1315</v>
      </c>
      <c r="E84" t="s">
        <v>1316</v>
      </c>
      <c r="F84" t="s">
        <v>25</v>
      </c>
      <c r="G84" t="s">
        <v>1317</v>
      </c>
      <c r="H84" t="s">
        <v>1071</v>
      </c>
      <c r="I84" t="s">
        <v>88</v>
      </c>
      <c r="J84" t="s">
        <v>29</v>
      </c>
      <c r="K84" t="s">
        <v>46</v>
      </c>
      <c r="L84" t="s">
        <v>556</v>
      </c>
      <c r="M84" s="1">
        <v>0</v>
      </c>
      <c r="N84">
        <v>0</v>
      </c>
      <c r="O84">
        <v>0</v>
      </c>
      <c r="P84">
        <v>91.25</v>
      </c>
      <c r="Q84">
        <v>1</v>
      </c>
      <c r="R84" s="2">
        <v>0</v>
      </c>
      <c r="S84">
        <v>0</v>
      </c>
      <c r="T84">
        <v>0</v>
      </c>
    </row>
    <row r="85" spans="1:20" x14ac:dyDescent="0.2">
      <c r="A85" t="s">
        <v>832</v>
      </c>
      <c r="B85" t="s">
        <v>21</v>
      </c>
      <c r="C85" t="s">
        <v>1462</v>
      </c>
      <c r="D85" t="s">
        <v>1463</v>
      </c>
      <c r="E85" t="s">
        <v>1464</v>
      </c>
      <c r="F85" t="s">
        <v>25</v>
      </c>
      <c r="G85" t="s">
        <v>1465</v>
      </c>
      <c r="H85" t="s">
        <v>1410</v>
      </c>
      <c r="I85" t="s">
        <v>28</v>
      </c>
      <c r="J85" t="s">
        <v>29</v>
      </c>
      <c r="K85" t="s">
        <v>46</v>
      </c>
      <c r="L85" t="s">
        <v>556</v>
      </c>
      <c r="M85" s="1">
        <v>0</v>
      </c>
      <c r="N85">
        <v>0</v>
      </c>
      <c r="O85">
        <v>0</v>
      </c>
      <c r="P85">
        <v>91.25</v>
      </c>
      <c r="Q85">
        <v>1</v>
      </c>
      <c r="R85" s="2">
        <v>0</v>
      </c>
      <c r="S85">
        <v>0</v>
      </c>
      <c r="T85">
        <v>0</v>
      </c>
    </row>
    <row r="86" spans="1:20" x14ac:dyDescent="0.2">
      <c r="A86" t="s">
        <v>330</v>
      </c>
      <c r="B86" t="s">
        <v>21</v>
      </c>
      <c r="C86" t="s">
        <v>756</v>
      </c>
      <c r="D86" t="s">
        <v>757</v>
      </c>
      <c r="E86" t="s">
        <v>758</v>
      </c>
      <c r="F86" t="s">
        <v>25</v>
      </c>
      <c r="G86" t="s">
        <v>759</v>
      </c>
      <c r="H86" t="s">
        <v>748</v>
      </c>
      <c r="I86" t="s">
        <v>28</v>
      </c>
      <c r="J86" t="s">
        <v>29</v>
      </c>
      <c r="K86" t="s">
        <v>46</v>
      </c>
      <c r="L86" t="s">
        <v>38</v>
      </c>
      <c r="M86" s="1">
        <v>0</v>
      </c>
      <c r="N86">
        <v>0</v>
      </c>
      <c r="O86">
        <v>0</v>
      </c>
      <c r="P86">
        <v>91.25</v>
      </c>
      <c r="Q86">
        <v>0</v>
      </c>
      <c r="R86" s="2">
        <v>0</v>
      </c>
      <c r="S86">
        <v>1</v>
      </c>
      <c r="T86">
        <v>1</v>
      </c>
    </row>
    <row r="87" spans="1:20" x14ac:dyDescent="0.2">
      <c r="A87" t="s">
        <v>821</v>
      </c>
      <c r="B87" t="s">
        <v>21</v>
      </c>
      <c r="C87" t="s">
        <v>822</v>
      </c>
      <c r="D87" t="s">
        <v>823</v>
      </c>
      <c r="E87" t="s">
        <v>758</v>
      </c>
      <c r="F87" t="s">
        <v>25</v>
      </c>
      <c r="G87" t="s">
        <v>759</v>
      </c>
      <c r="H87" t="s">
        <v>748</v>
      </c>
      <c r="I87" t="s">
        <v>28</v>
      </c>
      <c r="J87" t="s">
        <v>29</v>
      </c>
      <c r="K87" t="s">
        <v>46</v>
      </c>
      <c r="L87" t="s">
        <v>31</v>
      </c>
      <c r="M87" s="1">
        <v>137500.71</v>
      </c>
      <c r="N87">
        <v>1</v>
      </c>
      <c r="O87">
        <v>1</v>
      </c>
      <c r="P87">
        <v>91.25</v>
      </c>
      <c r="Q87">
        <v>0</v>
      </c>
      <c r="R87" s="2">
        <v>1</v>
      </c>
      <c r="S87">
        <v>0</v>
      </c>
      <c r="T87">
        <v>0</v>
      </c>
    </row>
    <row r="88" spans="1:20" x14ac:dyDescent="0.2">
      <c r="A88" t="s">
        <v>126</v>
      </c>
      <c r="B88" t="s">
        <v>21</v>
      </c>
      <c r="C88" t="s">
        <v>127</v>
      </c>
      <c r="D88" t="s">
        <v>128</v>
      </c>
      <c r="E88" t="s">
        <v>129</v>
      </c>
      <c r="F88" t="s">
        <v>25</v>
      </c>
      <c r="G88" t="s">
        <v>128</v>
      </c>
      <c r="H88" t="s">
        <v>27</v>
      </c>
      <c r="I88" t="s">
        <v>28</v>
      </c>
      <c r="J88" t="s">
        <v>29</v>
      </c>
      <c r="K88" t="s">
        <v>46</v>
      </c>
      <c r="L88" t="s">
        <v>38</v>
      </c>
      <c r="M88" s="1">
        <v>0</v>
      </c>
      <c r="N88">
        <v>0</v>
      </c>
      <c r="O88">
        <v>0</v>
      </c>
      <c r="P88">
        <v>91.25</v>
      </c>
      <c r="Q88">
        <v>0</v>
      </c>
      <c r="R88" s="2">
        <v>0</v>
      </c>
      <c r="S88">
        <v>1</v>
      </c>
      <c r="T88">
        <v>1</v>
      </c>
    </row>
    <row r="89" spans="1:20" x14ac:dyDescent="0.2">
      <c r="A89" t="s">
        <v>434</v>
      </c>
      <c r="B89" t="s">
        <v>158</v>
      </c>
      <c r="C89" t="s">
        <v>476</v>
      </c>
      <c r="D89" t="s">
        <v>477</v>
      </c>
      <c r="E89" t="s">
        <v>129</v>
      </c>
      <c r="F89" t="s">
        <v>25</v>
      </c>
      <c r="G89" t="s">
        <v>128</v>
      </c>
      <c r="H89" t="s">
        <v>319</v>
      </c>
      <c r="I89" t="s">
        <v>28</v>
      </c>
      <c r="J89" t="s">
        <v>29</v>
      </c>
      <c r="K89" t="s">
        <v>46</v>
      </c>
      <c r="L89" t="s">
        <v>31</v>
      </c>
      <c r="M89" s="1">
        <v>23842.5</v>
      </c>
      <c r="N89">
        <v>1</v>
      </c>
      <c r="O89">
        <v>1</v>
      </c>
      <c r="P89">
        <v>91.25</v>
      </c>
      <c r="Q89">
        <v>0</v>
      </c>
      <c r="R89" s="2">
        <v>1</v>
      </c>
      <c r="S89">
        <v>0</v>
      </c>
      <c r="T89">
        <v>0</v>
      </c>
    </row>
    <row r="90" spans="1:20" x14ac:dyDescent="0.2">
      <c r="A90" t="s">
        <v>564</v>
      </c>
      <c r="B90" t="s">
        <v>21</v>
      </c>
      <c r="C90" t="s">
        <v>565</v>
      </c>
      <c r="D90" t="s">
        <v>566</v>
      </c>
      <c r="E90" t="s">
        <v>567</v>
      </c>
      <c r="F90" t="s">
        <v>25</v>
      </c>
      <c r="G90" t="s">
        <v>568</v>
      </c>
      <c r="H90" t="s">
        <v>550</v>
      </c>
      <c r="I90" t="s">
        <v>28</v>
      </c>
      <c r="J90" t="s">
        <v>29</v>
      </c>
      <c r="K90" t="s">
        <v>46</v>
      </c>
      <c r="L90" t="s">
        <v>38</v>
      </c>
      <c r="M90" s="1">
        <v>0</v>
      </c>
      <c r="N90">
        <v>0</v>
      </c>
      <c r="O90">
        <v>0</v>
      </c>
      <c r="P90">
        <v>91.25</v>
      </c>
      <c r="Q90">
        <v>0</v>
      </c>
      <c r="R90" s="2">
        <v>0</v>
      </c>
      <c r="S90">
        <v>1</v>
      </c>
      <c r="T90">
        <v>1</v>
      </c>
    </row>
    <row r="91" spans="1:20" x14ac:dyDescent="0.2">
      <c r="A91" t="s">
        <v>958</v>
      </c>
      <c r="B91" t="s">
        <v>158</v>
      </c>
      <c r="C91" t="s">
        <v>959</v>
      </c>
      <c r="D91" t="s">
        <v>960</v>
      </c>
      <c r="E91" t="s">
        <v>567</v>
      </c>
      <c r="F91" t="s">
        <v>25</v>
      </c>
      <c r="G91" t="s">
        <v>568</v>
      </c>
      <c r="H91" t="s">
        <v>748</v>
      </c>
      <c r="I91" t="s">
        <v>28</v>
      </c>
      <c r="J91" t="s">
        <v>29</v>
      </c>
      <c r="K91" t="s">
        <v>46</v>
      </c>
      <c r="L91" t="s">
        <v>31</v>
      </c>
      <c r="M91" s="1">
        <v>23500.79</v>
      </c>
      <c r="N91">
        <v>1</v>
      </c>
      <c r="O91">
        <v>1</v>
      </c>
      <c r="P91">
        <v>91.25</v>
      </c>
      <c r="Q91">
        <v>0</v>
      </c>
      <c r="R91" s="2">
        <v>1</v>
      </c>
      <c r="S91">
        <v>0</v>
      </c>
      <c r="T91">
        <v>0</v>
      </c>
    </row>
    <row r="92" spans="1:20" x14ac:dyDescent="0.2">
      <c r="A92" t="s">
        <v>705</v>
      </c>
      <c r="B92" t="s">
        <v>262</v>
      </c>
      <c r="C92" t="s">
        <v>1032</v>
      </c>
      <c r="D92" t="s">
        <v>1033</v>
      </c>
      <c r="E92" t="s">
        <v>567</v>
      </c>
      <c r="F92" t="s">
        <v>58</v>
      </c>
      <c r="G92" t="s">
        <v>568</v>
      </c>
      <c r="H92" t="s">
        <v>748</v>
      </c>
      <c r="I92" t="s">
        <v>28</v>
      </c>
      <c r="J92" t="s">
        <v>29</v>
      </c>
      <c r="K92" t="s">
        <v>46</v>
      </c>
      <c r="L92" t="s">
        <v>31</v>
      </c>
      <c r="M92" s="1">
        <v>134369.06</v>
      </c>
      <c r="N92">
        <v>1</v>
      </c>
      <c r="O92">
        <v>1</v>
      </c>
      <c r="P92">
        <v>91.25</v>
      </c>
      <c r="Q92">
        <v>0</v>
      </c>
      <c r="R92" s="2">
        <v>1</v>
      </c>
      <c r="S92">
        <v>0</v>
      </c>
      <c r="T92">
        <v>0</v>
      </c>
    </row>
    <row r="93" spans="1:20" x14ac:dyDescent="0.2">
      <c r="A93" t="s">
        <v>1080</v>
      </c>
      <c r="B93" t="s">
        <v>21</v>
      </c>
      <c r="C93" t="s">
        <v>1081</v>
      </c>
      <c r="D93" t="s">
        <v>1082</v>
      </c>
      <c r="E93" t="s">
        <v>1083</v>
      </c>
      <c r="F93" t="s">
        <v>25</v>
      </c>
      <c r="G93" t="s">
        <v>1084</v>
      </c>
      <c r="H93" t="s">
        <v>1071</v>
      </c>
      <c r="I93" t="s">
        <v>28</v>
      </c>
      <c r="J93" t="s">
        <v>29</v>
      </c>
      <c r="K93" t="s">
        <v>46</v>
      </c>
      <c r="L93" t="s">
        <v>38</v>
      </c>
      <c r="M93" s="1">
        <v>0</v>
      </c>
      <c r="N93">
        <v>0</v>
      </c>
      <c r="O93">
        <v>0</v>
      </c>
      <c r="P93">
        <v>91.25</v>
      </c>
      <c r="Q93">
        <v>0</v>
      </c>
      <c r="R93" s="2">
        <v>0</v>
      </c>
      <c r="S93">
        <v>1</v>
      </c>
      <c r="T93">
        <v>1</v>
      </c>
    </row>
    <row r="94" spans="1:20" x14ac:dyDescent="0.2">
      <c r="A94" t="s">
        <v>91</v>
      </c>
      <c r="B94" t="s">
        <v>21</v>
      </c>
      <c r="C94" t="s">
        <v>1180</v>
      </c>
      <c r="D94" t="s">
        <v>1181</v>
      </c>
      <c r="E94" t="s">
        <v>1083</v>
      </c>
      <c r="F94" t="s">
        <v>25</v>
      </c>
      <c r="G94" t="s">
        <v>1084</v>
      </c>
      <c r="H94" t="s">
        <v>1071</v>
      </c>
      <c r="I94" t="s">
        <v>28</v>
      </c>
      <c r="J94" t="s">
        <v>29</v>
      </c>
      <c r="K94" t="s">
        <v>46</v>
      </c>
      <c r="L94" t="s">
        <v>31</v>
      </c>
      <c r="M94" s="1">
        <v>0</v>
      </c>
      <c r="N94">
        <v>1</v>
      </c>
      <c r="O94">
        <v>1</v>
      </c>
      <c r="P94">
        <v>91.25</v>
      </c>
      <c r="Q94">
        <v>0</v>
      </c>
      <c r="R94" s="2">
        <v>1</v>
      </c>
      <c r="S94">
        <v>0</v>
      </c>
      <c r="T94">
        <v>0</v>
      </c>
    </row>
    <row r="95" spans="1:20" x14ac:dyDescent="0.2">
      <c r="A95" t="s">
        <v>91</v>
      </c>
      <c r="B95" t="s">
        <v>21</v>
      </c>
      <c r="C95" t="s">
        <v>1182</v>
      </c>
      <c r="D95" t="s">
        <v>1183</v>
      </c>
      <c r="E95" t="s">
        <v>1083</v>
      </c>
      <c r="F95" t="s">
        <v>25</v>
      </c>
      <c r="G95" t="s">
        <v>1084</v>
      </c>
      <c r="H95" t="s">
        <v>1071</v>
      </c>
      <c r="I95" t="s">
        <v>28</v>
      </c>
      <c r="J95" t="s">
        <v>29</v>
      </c>
      <c r="K95" t="s">
        <v>46</v>
      </c>
      <c r="L95" t="s">
        <v>31</v>
      </c>
      <c r="M95" s="1">
        <v>0</v>
      </c>
      <c r="N95">
        <v>1</v>
      </c>
      <c r="O95">
        <v>1</v>
      </c>
      <c r="P95">
        <v>91.25</v>
      </c>
      <c r="Q95">
        <v>0</v>
      </c>
      <c r="R95" s="2">
        <v>1</v>
      </c>
      <c r="S95">
        <v>0</v>
      </c>
      <c r="T95">
        <v>0</v>
      </c>
    </row>
    <row r="96" spans="1:20" x14ac:dyDescent="0.2">
      <c r="A96" t="s">
        <v>1279</v>
      </c>
      <c r="B96" t="s">
        <v>158</v>
      </c>
      <c r="C96" t="s">
        <v>1280</v>
      </c>
      <c r="D96" t="s">
        <v>1281</v>
      </c>
      <c r="E96" t="s">
        <v>1083</v>
      </c>
      <c r="F96" t="s">
        <v>58</v>
      </c>
      <c r="G96" t="s">
        <v>1084</v>
      </c>
      <c r="H96" t="s">
        <v>1071</v>
      </c>
      <c r="I96" t="s">
        <v>28</v>
      </c>
      <c r="J96" t="s">
        <v>29</v>
      </c>
      <c r="K96" t="s">
        <v>46</v>
      </c>
      <c r="L96" t="s">
        <v>38</v>
      </c>
      <c r="M96" s="1">
        <v>0</v>
      </c>
      <c r="N96">
        <v>0</v>
      </c>
      <c r="O96">
        <v>0</v>
      </c>
      <c r="P96">
        <v>91.25</v>
      </c>
      <c r="Q96">
        <v>0</v>
      </c>
      <c r="R96" s="2">
        <v>0</v>
      </c>
      <c r="S96">
        <v>1</v>
      </c>
      <c r="T96">
        <v>1</v>
      </c>
    </row>
    <row r="97" spans="1:20" x14ac:dyDescent="0.2">
      <c r="A97" t="s">
        <v>980</v>
      </c>
      <c r="B97" t="s">
        <v>250</v>
      </c>
      <c r="C97" t="s">
        <v>989</v>
      </c>
      <c r="D97" t="s">
        <v>990</v>
      </c>
      <c r="E97" t="s">
        <v>991</v>
      </c>
      <c r="F97" t="s">
        <v>25</v>
      </c>
      <c r="G97" t="s">
        <v>992</v>
      </c>
      <c r="H97" t="s">
        <v>748</v>
      </c>
      <c r="I97" t="s">
        <v>28</v>
      </c>
      <c r="J97" t="s">
        <v>29</v>
      </c>
      <c r="K97" t="s">
        <v>46</v>
      </c>
      <c r="L97" t="s">
        <v>31</v>
      </c>
      <c r="M97" s="1">
        <v>42950</v>
      </c>
      <c r="N97">
        <v>1</v>
      </c>
      <c r="O97">
        <v>1</v>
      </c>
      <c r="P97">
        <v>91.25</v>
      </c>
      <c r="Q97">
        <v>0</v>
      </c>
      <c r="R97" s="2">
        <v>1</v>
      </c>
      <c r="S97">
        <v>0</v>
      </c>
      <c r="T97">
        <v>0</v>
      </c>
    </row>
    <row r="98" spans="1:20" x14ac:dyDescent="0.2">
      <c r="A98" t="s">
        <v>175</v>
      </c>
      <c r="B98" t="s">
        <v>158</v>
      </c>
      <c r="C98" t="s">
        <v>448</v>
      </c>
      <c r="D98" t="s">
        <v>449</v>
      </c>
      <c r="E98" t="s">
        <v>450</v>
      </c>
      <c r="F98" t="s">
        <v>25</v>
      </c>
      <c r="G98" t="s">
        <v>451</v>
      </c>
      <c r="H98" t="s">
        <v>319</v>
      </c>
      <c r="I98" t="s">
        <v>28</v>
      </c>
      <c r="J98" t="s">
        <v>29</v>
      </c>
      <c r="K98" t="s">
        <v>46</v>
      </c>
      <c r="L98" t="s">
        <v>31</v>
      </c>
      <c r="M98" s="1">
        <v>1200001.28</v>
      </c>
      <c r="N98">
        <v>1</v>
      </c>
      <c r="O98">
        <v>1</v>
      </c>
      <c r="P98">
        <v>91.25</v>
      </c>
      <c r="Q98">
        <v>0</v>
      </c>
      <c r="R98" s="2">
        <v>1</v>
      </c>
      <c r="S98">
        <v>0</v>
      </c>
      <c r="T98">
        <v>0</v>
      </c>
    </row>
    <row r="99" spans="1:20" x14ac:dyDescent="0.2">
      <c r="A99" t="s">
        <v>157</v>
      </c>
      <c r="B99" t="s">
        <v>158</v>
      </c>
      <c r="C99" t="s">
        <v>183</v>
      </c>
      <c r="D99" t="s">
        <v>184</v>
      </c>
      <c r="E99" t="s">
        <v>24</v>
      </c>
      <c r="F99" t="s">
        <v>58</v>
      </c>
      <c r="G99" t="s">
        <v>26</v>
      </c>
      <c r="H99" t="s">
        <v>27</v>
      </c>
      <c r="I99" t="s">
        <v>185</v>
      </c>
      <c r="J99" t="s">
        <v>29</v>
      </c>
      <c r="K99" t="s">
        <v>46</v>
      </c>
      <c r="L99" t="s">
        <v>38</v>
      </c>
      <c r="M99" s="1">
        <v>0</v>
      </c>
      <c r="N99">
        <v>0</v>
      </c>
      <c r="O99">
        <v>0</v>
      </c>
      <c r="P99">
        <v>91.25</v>
      </c>
      <c r="Q99">
        <v>0</v>
      </c>
      <c r="R99" s="2">
        <v>0</v>
      </c>
      <c r="S99">
        <v>1</v>
      </c>
      <c r="T99">
        <v>1</v>
      </c>
    </row>
    <row r="100" spans="1:20" x14ac:dyDescent="0.2">
      <c r="A100" t="s">
        <v>277</v>
      </c>
      <c r="B100" t="s">
        <v>262</v>
      </c>
      <c r="C100" t="s">
        <v>709</v>
      </c>
      <c r="D100" t="s">
        <v>26</v>
      </c>
      <c r="E100" t="s">
        <v>24</v>
      </c>
      <c r="F100" t="s">
        <v>25</v>
      </c>
      <c r="G100" t="s">
        <v>26</v>
      </c>
      <c r="H100" t="s">
        <v>550</v>
      </c>
      <c r="I100" t="s">
        <v>185</v>
      </c>
      <c r="J100" t="s">
        <v>29</v>
      </c>
      <c r="K100" t="s">
        <v>46</v>
      </c>
      <c r="L100" t="s">
        <v>38</v>
      </c>
      <c r="M100" s="1">
        <v>0</v>
      </c>
      <c r="N100">
        <v>0</v>
      </c>
      <c r="O100">
        <v>0</v>
      </c>
      <c r="P100">
        <v>91.25</v>
      </c>
      <c r="Q100">
        <v>0</v>
      </c>
      <c r="R100" s="2">
        <v>0</v>
      </c>
      <c r="S100">
        <v>1</v>
      </c>
      <c r="T100">
        <v>1</v>
      </c>
    </row>
    <row r="101" spans="1:20" x14ac:dyDescent="0.2">
      <c r="A101" t="s">
        <v>516</v>
      </c>
      <c r="B101" t="s">
        <v>262</v>
      </c>
      <c r="C101" t="s">
        <v>739</v>
      </c>
      <c r="D101" t="s">
        <v>740</v>
      </c>
      <c r="E101" t="s">
        <v>24</v>
      </c>
      <c r="F101" t="s">
        <v>25</v>
      </c>
      <c r="G101" t="s">
        <v>26</v>
      </c>
      <c r="H101" t="s">
        <v>550</v>
      </c>
      <c r="I101" t="s">
        <v>185</v>
      </c>
      <c r="J101" t="s">
        <v>29</v>
      </c>
      <c r="K101" t="s">
        <v>46</v>
      </c>
      <c r="L101" t="s">
        <v>38</v>
      </c>
      <c r="M101" s="1">
        <v>0</v>
      </c>
      <c r="N101">
        <v>0</v>
      </c>
      <c r="O101">
        <v>0</v>
      </c>
      <c r="P101">
        <v>91.25</v>
      </c>
      <c r="Q101">
        <v>0</v>
      </c>
      <c r="R101" s="2">
        <v>0</v>
      </c>
      <c r="S101">
        <v>1</v>
      </c>
      <c r="T101">
        <v>1</v>
      </c>
    </row>
    <row r="102" spans="1:20" x14ac:dyDescent="0.2">
      <c r="A102" t="s">
        <v>875</v>
      </c>
      <c r="B102" t="s">
        <v>158</v>
      </c>
      <c r="C102" t="s">
        <v>876</v>
      </c>
      <c r="D102" t="s">
        <v>877</v>
      </c>
      <c r="E102" t="s">
        <v>24</v>
      </c>
      <c r="F102" t="s">
        <v>25</v>
      </c>
      <c r="G102" t="s">
        <v>26</v>
      </c>
      <c r="H102" t="s">
        <v>748</v>
      </c>
      <c r="I102" t="s">
        <v>185</v>
      </c>
      <c r="J102" t="s">
        <v>29</v>
      </c>
      <c r="K102" t="s">
        <v>46</v>
      </c>
      <c r="L102" t="s">
        <v>38</v>
      </c>
      <c r="M102" s="1">
        <v>0</v>
      </c>
      <c r="N102">
        <v>0</v>
      </c>
      <c r="O102">
        <v>0</v>
      </c>
      <c r="P102">
        <v>91.25</v>
      </c>
      <c r="Q102">
        <v>0</v>
      </c>
      <c r="R102" s="2">
        <v>0</v>
      </c>
      <c r="S102">
        <v>1</v>
      </c>
      <c r="T102">
        <v>1</v>
      </c>
    </row>
    <row r="103" spans="1:20" x14ac:dyDescent="0.2">
      <c r="A103" t="s">
        <v>277</v>
      </c>
      <c r="B103" t="s">
        <v>262</v>
      </c>
      <c r="C103" t="s">
        <v>876</v>
      </c>
      <c r="D103" t="s">
        <v>877</v>
      </c>
      <c r="E103" t="s">
        <v>24</v>
      </c>
      <c r="F103" t="s">
        <v>58</v>
      </c>
      <c r="G103" t="s">
        <v>26</v>
      </c>
      <c r="H103" t="s">
        <v>748</v>
      </c>
      <c r="I103" t="s">
        <v>185</v>
      </c>
      <c r="J103" t="s">
        <v>29</v>
      </c>
      <c r="K103" t="s">
        <v>46</v>
      </c>
      <c r="L103" t="s">
        <v>38</v>
      </c>
      <c r="M103" s="1">
        <v>0</v>
      </c>
      <c r="N103">
        <v>0</v>
      </c>
      <c r="O103">
        <v>0</v>
      </c>
      <c r="P103">
        <v>91.25</v>
      </c>
      <c r="Q103">
        <v>0</v>
      </c>
      <c r="R103" s="2">
        <v>0</v>
      </c>
      <c r="S103">
        <v>1</v>
      </c>
      <c r="T103">
        <v>1</v>
      </c>
    </row>
    <row r="104" spans="1:20" x14ac:dyDescent="0.2">
      <c r="A104" t="s">
        <v>20</v>
      </c>
      <c r="B104" t="s">
        <v>21</v>
      </c>
      <c r="C104" t="s">
        <v>22</v>
      </c>
      <c r="D104" t="s">
        <v>23</v>
      </c>
      <c r="E104" t="s">
        <v>24</v>
      </c>
      <c r="F104" t="s">
        <v>25</v>
      </c>
      <c r="G104" t="s">
        <v>26</v>
      </c>
      <c r="H104" t="s">
        <v>27</v>
      </c>
      <c r="I104" t="s">
        <v>28</v>
      </c>
      <c r="J104" t="s">
        <v>29</v>
      </c>
      <c r="K104" t="s">
        <v>30</v>
      </c>
      <c r="L104" t="s">
        <v>31</v>
      </c>
      <c r="M104" s="1">
        <v>342230.39</v>
      </c>
      <c r="N104">
        <v>0</v>
      </c>
      <c r="O104">
        <v>1</v>
      </c>
      <c r="P104">
        <v>91.25</v>
      </c>
      <c r="Q104">
        <v>0</v>
      </c>
      <c r="R104" s="2">
        <v>1</v>
      </c>
      <c r="S104">
        <v>1</v>
      </c>
      <c r="T104">
        <v>0</v>
      </c>
    </row>
    <row r="105" spans="1:20" x14ac:dyDescent="0.2">
      <c r="A105" t="s">
        <v>61</v>
      </c>
      <c r="B105" t="s">
        <v>21</v>
      </c>
      <c r="C105" t="s">
        <v>140</v>
      </c>
      <c r="D105" t="s">
        <v>141</v>
      </c>
      <c r="E105" t="s">
        <v>24</v>
      </c>
      <c r="F105" t="s">
        <v>25</v>
      </c>
      <c r="G105" t="s">
        <v>26</v>
      </c>
      <c r="H105" t="s">
        <v>27</v>
      </c>
      <c r="I105" t="s">
        <v>28</v>
      </c>
      <c r="J105" t="s">
        <v>29</v>
      </c>
      <c r="K105" t="s">
        <v>46</v>
      </c>
      <c r="L105" t="s">
        <v>31</v>
      </c>
      <c r="M105" s="1">
        <v>319075.40000000002</v>
      </c>
      <c r="N105">
        <v>1</v>
      </c>
      <c r="O105">
        <v>1</v>
      </c>
      <c r="P105">
        <v>91.25</v>
      </c>
      <c r="Q105">
        <v>0</v>
      </c>
      <c r="R105" s="2">
        <v>1</v>
      </c>
      <c r="S105">
        <v>0</v>
      </c>
      <c r="T105">
        <v>0</v>
      </c>
    </row>
    <row r="106" spans="1:20" x14ac:dyDescent="0.2">
      <c r="A106" t="s">
        <v>254</v>
      </c>
      <c r="B106" t="s">
        <v>250</v>
      </c>
      <c r="C106" t="s">
        <v>255</v>
      </c>
      <c r="D106" t="s">
        <v>256</v>
      </c>
      <c r="E106" t="s">
        <v>24</v>
      </c>
      <c r="F106" t="s">
        <v>25</v>
      </c>
      <c r="G106" t="s">
        <v>26</v>
      </c>
      <c r="H106" t="s">
        <v>27</v>
      </c>
      <c r="I106" t="s">
        <v>28</v>
      </c>
      <c r="J106" t="s">
        <v>29</v>
      </c>
      <c r="K106" t="s">
        <v>46</v>
      </c>
      <c r="L106" t="s">
        <v>38</v>
      </c>
      <c r="M106" s="1">
        <v>0</v>
      </c>
      <c r="N106">
        <v>0</v>
      </c>
      <c r="O106">
        <v>0</v>
      </c>
      <c r="P106">
        <v>91.25</v>
      </c>
      <c r="Q106">
        <v>0</v>
      </c>
      <c r="R106" s="2">
        <v>0</v>
      </c>
      <c r="S106">
        <v>1</v>
      </c>
      <c r="T106">
        <v>1</v>
      </c>
    </row>
    <row r="107" spans="1:20" x14ac:dyDescent="0.2">
      <c r="A107" t="s">
        <v>312</v>
      </c>
      <c r="B107" t="s">
        <v>262</v>
      </c>
      <c r="C107" t="s">
        <v>313</v>
      </c>
      <c r="D107" t="s">
        <v>314</v>
      </c>
      <c r="E107" t="s">
        <v>24</v>
      </c>
      <c r="F107" t="s">
        <v>25</v>
      </c>
      <c r="G107" t="s">
        <v>26</v>
      </c>
      <c r="H107" t="s">
        <v>27</v>
      </c>
      <c r="I107" t="s">
        <v>28</v>
      </c>
      <c r="J107" t="s">
        <v>29</v>
      </c>
      <c r="K107" t="s">
        <v>46</v>
      </c>
      <c r="L107" t="s">
        <v>38</v>
      </c>
      <c r="M107" s="1">
        <v>0</v>
      </c>
      <c r="N107">
        <v>0</v>
      </c>
      <c r="O107">
        <v>0</v>
      </c>
      <c r="P107">
        <v>91.25</v>
      </c>
      <c r="Q107">
        <v>0</v>
      </c>
      <c r="R107" s="2">
        <v>0</v>
      </c>
      <c r="S107">
        <v>1</v>
      </c>
      <c r="T107">
        <v>1</v>
      </c>
    </row>
    <row r="108" spans="1:20" x14ac:dyDescent="0.2">
      <c r="A108" t="s">
        <v>321</v>
      </c>
      <c r="B108" t="s">
        <v>21</v>
      </c>
      <c r="C108" t="s">
        <v>322</v>
      </c>
      <c r="D108" t="s">
        <v>323</v>
      </c>
      <c r="E108" t="s">
        <v>24</v>
      </c>
      <c r="F108" t="s">
        <v>25</v>
      </c>
      <c r="G108" t="s">
        <v>26</v>
      </c>
      <c r="H108" t="s">
        <v>319</v>
      </c>
      <c r="I108" t="s">
        <v>28</v>
      </c>
      <c r="J108" t="s">
        <v>29</v>
      </c>
      <c r="K108" t="s">
        <v>46</v>
      </c>
      <c r="L108" t="s">
        <v>31</v>
      </c>
      <c r="M108" s="1">
        <v>93880.8</v>
      </c>
      <c r="N108">
        <v>1</v>
      </c>
      <c r="O108">
        <v>1</v>
      </c>
      <c r="P108">
        <v>91.25</v>
      </c>
      <c r="Q108">
        <v>0</v>
      </c>
      <c r="R108" s="2">
        <v>1</v>
      </c>
      <c r="S108">
        <v>0</v>
      </c>
      <c r="T108">
        <v>0</v>
      </c>
    </row>
    <row r="109" spans="1:20" x14ac:dyDescent="0.2">
      <c r="A109" t="s">
        <v>327</v>
      </c>
      <c r="B109" t="s">
        <v>21</v>
      </c>
      <c r="C109" t="s">
        <v>328</v>
      </c>
      <c r="D109" t="s">
        <v>329</v>
      </c>
      <c r="E109" t="s">
        <v>24</v>
      </c>
      <c r="F109" t="s">
        <v>25</v>
      </c>
      <c r="G109" t="s">
        <v>26</v>
      </c>
      <c r="H109" t="s">
        <v>319</v>
      </c>
      <c r="I109" t="s">
        <v>28</v>
      </c>
      <c r="J109" t="s">
        <v>29</v>
      </c>
      <c r="K109" t="s">
        <v>46</v>
      </c>
      <c r="L109" t="s">
        <v>31</v>
      </c>
      <c r="M109" s="1">
        <v>96152.79</v>
      </c>
      <c r="N109">
        <v>1</v>
      </c>
      <c r="O109">
        <v>1</v>
      </c>
      <c r="P109">
        <v>91.25</v>
      </c>
      <c r="Q109">
        <v>0</v>
      </c>
      <c r="R109" s="2">
        <v>1</v>
      </c>
      <c r="S109">
        <v>0</v>
      </c>
      <c r="T109">
        <v>0</v>
      </c>
    </row>
    <row r="110" spans="1:20" x14ac:dyDescent="0.2">
      <c r="A110" t="s">
        <v>330</v>
      </c>
      <c r="B110" t="s">
        <v>21</v>
      </c>
      <c r="C110" t="s">
        <v>331</v>
      </c>
      <c r="D110" t="s">
        <v>332</v>
      </c>
      <c r="E110" t="s">
        <v>24</v>
      </c>
      <c r="F110" t="s">
        <v>25</v>
      </c>
      <c r="G110" t="s">
        <v>26</v>
      </c>
      <c r="H110" t="s">
        <v>319</v>
      </c>
      <c r="I110" t="s">
        <v>28</v>
      </c>
      <c r="J110" t="s">
        <v>29</v>
      </c>
      <c r="K110" t="s">
        <v>30</v>
      </c>
      <c r="L110" t="s">
        <v>31</v>
      </c>
      <c r="M110" s="1">
        <v>422235.8</v>
      </c>
      <c r="N110">
        <v>1</v>
      </c>
      <c r="O110">
        <v>1</v>
      </c>
      <c r="P110">
        <v>91.25</v>
      </c>
      <c r="Q110">
        <v>0</v>
      </c>
      <c r="R110" s="2">
        <v>1</v>
      </c>
      <c r="S110">
        <v>0</v>
      </c>
      <c r="T110">
        <v>0</v>
      </c>
    </row>
    <row r="111" spans="1:20" x14ac:dyDescent="0.2">
      <c r="A111" t="s">
        <v>370</v>
      </c>
      <c r="B111" t="s">
        <v>21</v>
      </c>
      <c r="C111" t="s">
        <v>371</v>
      </c>
      <c r="D111" t="s">
        <v>372</v>
      </c>
      <c r="E111" t="s">
        <v>24</v>
      </c>
      <c r="F111" t="s">
        <v>25</v>
      </c>
      <c r="G111" t="s">
        <v>26</v>
      </c>
      <c r="H111" t="s">
        <v>319</v>
      </c>
      <c r="I111" t="s">
        <v>28</v>
      </c>
      <c r="J111" t="s">
        <v>29</v>
      </c>
      <c r="K111" t="s">
        <v>46</v>
      </c>
      <c r="L111" t="s">
        <v>31</v>
      </c>
      <c r="M111" s="1">
        <v>99028</v>
      </c>
      <c r="N111">
        <v>1</v>
      </c>
      <c r="O111">
        <v>1</v>
      </c>
      <c r="P111">
        <v>91.25</v>
      </c>
      <c r="Q111">
        <v>0</v>
      </c>
      <c r="R111" s="2">
        <v>1</v>
      </c>
      <c r="S111">
        <v>0</v>
      </c>
      <c r="T111">
        <v>0</v>
      </c>
    </row>
    <row r="112" spans="1:20" x14ac:dyDescent="0.2">
      <c r="A112" t="s">
        <v>404</v>
      </c>
      <c r="B112" t="s">
        <v>21</v>
      </c>
      <c r="C112" t="s">
        <v>405</v>
      </c>
      <c r="D112" t="s">
        <v>406</v>
      </c>
      <c r="E112" t="s">
        <v>24</v>
      </c>
      <c r="F112" t="s">
        <v>25</v>
      </c>
      <c r="G112" t="s">
        <v>26</v>
      </c>
      <c r="H112" t="s">
        <v>319</v>
      </c>
      <c r="I112" t="s">
        <v>28</v>
      </c>
      <c r="J112" t="s">
        <v>29</v>
      </c>
      <c r="K112" t="s">
        <v>46</v>
      </c>
      <c r="L112" t="s">
        <v>31</v>
      </c>
      <c r="M112" s="1">
        <v>96368.8</v>
      </c>
      <c r="N112">
        <v>1</v>
      </c>
      <c r="O112">
        <v>1</v>
      </c>
      <c r="P112">
        <v>91.25</v>
      </c>
      <c r="Q112">
        <v>0</v>
      </c>
      <c r="R112" s="2">
        <v>1</v>
      </c>
      <c r="S112">
        <v>0</v>
      </c>
      <c r="T112">
        <v>0</v>
      </c>
    </row>
    <row r="113" spans="1:20" x14ac:dyDescent="0.2">
      <c r="A113" t="s">
        <v>502</v>
      </c>
      <c r="B113" t="s">
        <v>250</v>
      </c>
      <c r="C113" t="s">
        <v>508</v>
      </c>
      <c r="D113" t="s">
        <v>509</v>
      </c>
      <c r="E113" t="s">
        <v>24</v>
      </c>
      <c r="F113" t="s">
        <v>25</v>
      </c>
      <c r="G113" t="s">
        <v>26</v>
      </c>
      <c r="H113" t="s">
        <v>319</v>
      </c>
      <c r="I113" t="s">
        <v>28</v>
      </c>
      <c r="J113" t="s">
        <v>29</v>
      </c>
      <c r="K113" t="s">
        <v>46</v>
      </c>
      <c r="L113" t="s">
        <v>31</v>
      </c>
      <c r="M113" s="1">
        <v>238412</v>
      </c>
      <c r="N113">
        <v>1</v>
      </c>
      <c r="O113">
        <v>1</v>
      </c>
      <c r="P113">
        <v>91.25</v>
      </c>
      <c r="Q113">
        <v>0</v>
      </c>
      <c r="R113" s="2">
        <v>1</v>
      </c>
      <c r="S113">
        <v>0</v>
      </c>
      <c r="T113">
        <v>0</v>
      </c>
    </row>
    <row r="114" spans="1:20" x14ac:dyDescent="0.2">
      <c r="A114" t="s">
        <v>277</v>
      </c>
      <c r="B114" t="s">
        <v>262</v>
      </c>
      <c r="C114" t="s">
        <v>512</v>
      </c>
      <c r="D114" t="s">
        <v>513</v>
      </c>
      <c r="E114" t="s">
        <v>24</v>
      </c>
      <c r="F114" t="s">
        <v>58</v>
      </c>
      <c r="G114" t="s">
        <v>26</v>
      </c>
      <c r="H114" t="s">
        <v>319</v>
      </c>
      <c r="I114" t="s">
        <v>28</v>
      </c>
      <c r="J114" t="s">
        <v>29</v>
      </c>
      <c r="K114" t="s">
        <v>46</v>
      </c>
      <c r="L114" t="s">
        <v>38</v>
      </c>
      <c r="M114" s="1">
        <v>0</v>
      </c>
      <c r="N114">
        <v>0</v>
      </c>
      <c r="O114">
        <v>0</v>
      </c>
      <c r="P114">
        <v>91.25</v>
      </c>
      <c r="Q114">
        <v>0</v>
      </c>
      <c r="R114" s="2">
        <v>0</v>
      </c>
      <c r="S114">
        <v>1</v>
      </c>
      <c r="T114">
        <v>1</v>
      </c>
    </row>
    <row r="115" spans="1:20" x14ac:dyDescent="0.2">
      <c r="A115" t="s">
        <v>516</v>
      </c>
      <c r="B115" t="s">
        <v>262</v>
      </c>
      <c r="C115" t="s">
        <v>517</v>
      </c>
      <c r="D115" t="s">
        <v>518</v>
      </c>
      <c r="E115" t="s">
        <v>24</v>
      </c>
      <c r="F115" t="s">
        <v>25</v>
      </c>
      <c r="G115" t="s">
        <v>26</v>
      </c>
      <c r="H115" t="s">
        <v>319</v>
      </c>
      <c r="I115" t="s">
        <v>28</v>
      </c>
      <c r="J115" t="s">
        <v>29</v>
      </c>
      <c r="K115" t="s">
        <v>46</v>
      </c>
      <c r="L115" t="s">
        <v>31</v>
      </c>
      <c r="M115" s="1">
        <v>387657.58</v>
      </c>
      <c r="N115">
        <v>1</v>
      </c>
      <c r="O115">
        <v>1</v>
      </c>
      <c r="P115">
        <v>91.25</v>
      </c>
      <c r="Q115">
        <v>0</v>
      </c>
      <c r="R115" s="2">
        <v>1</v>
      </c>
      <c r="S115">
        <v>0</v>
      </c>
      <c r="T115">
        <v>0</v>
      </c>
    </row>
    <row r="116" spans="1:20" x14ac:dyDescent="0.2">
      <c r="A116" t="s">
        <v>547</v>
      </c>
      <c r="B116" t="s">
        <v>21</v>
      </c>
      <c r="C116" t="s">
        <v>548</v>
      </c>
      <c r="D116" t="s">
        <v>549</v>
      </c>
      <c r="E116" t="s">
        <v>24</v>
      </c>
      <c r="F116" t="s">
        <v>25</v>
      </c>
      <c r="G116" t="s">
        <v>26</v>
      </c>
      <c r="H116" t="s">
        <v>550</v>
      </c>
      <c r="I116" t="s">
        <v>28</v>
      </c>
      <c r="J116" t="s">
        <v>29</v>
      </c>
      <c r="K116" t="s">
        <v>46</v>
      </c>
      <c r="L116" t="s">
        <v>31</v>
      </c>
      <c r="M116" s="1">
        <v>742758.39</v>
      </c>
      <c r="N116">
        <v>1</v>
      </c>
      <c r="O116">
        <v>1</v>
      </c>
      <c r="P116">
        <v>91.25</v>
      </c>
      <c r="Q116">
        <v>0</v>
      </c>
      <c r="R116" s="2">
        <v>1</v>
      </c>
      <c r="S116">
        <v>0</v>
      </c>
      <c r="T116">
        <v>0</v>
      </c>
    </row>
    <row r="117" spans="1:20" x14ac:dyDescent="0.2">
      <c r="A117" t="s">
        <v>595</v>
      </c>
      <c r="B117" t="s">
        <v>21</v>
      </c>
      <c r="C117" t="s">
        <v>596</v>
      </c>
      <c r="D117" t="s">
        <v>597</v>
      </c>
      <c r="E117" t="s">
        <v>24</v>
      </c>
      <c r="F117" t="s">
        <v>25</v>
      </c>
      <c r="G117" t="s">
        <v>26</v>
      </c>
      <c r="H117" t="s">
        <v>550</v>
      </c>
      <c r="I117" t="s">
        <v>28</v>
      </c>
      <c r="J117" t="s">
        <v>29</v>
      </c>
      <c r="K117" t="s">
        <v>46</v>
      </c>
      <c r="L117" t="s">
        <v>31</v>
      </c>
      <c r="M117" s="1">
        <v>115418.4</v>
      </c>
      <c r="N117">
        <v>1</v>
      </c>
      <c r="O117">
        <v>1</v>
      </c>
      <c r="P117">
        <v>91.25</v>
      </c>
      <c r="Q117">
        <v>0</v>
      </c>
      <c r="R117" s="2">
        <v>1</v>
      </c>
      <c r="S117">
        <v>0</v>
      </c>
      <c r="T117">
        <v>0</v>
      </c>
    </row>
    <row r="118" spans="1:20" x14ac:dyDescent="0.2">
      <c r="A118" t="s">
        <v>312</v>
      </c>
      <c r="B118" t="s">
        <v>158</v>
      </c>
      <c r="C118" t="s">
        <v>633</v>
      </c>
      <c r="D118" t="s">
        <v>634</v>
      </c>
      <c r="E118" t="s">
        <v>24</v>
      </c>
      <c r="F118" t="s">
        <v>25</v>
      </c>
      <c r="G118" t="s">
        <v>26</v>
      </c>
      <c r="H118" t="s">
        <v>550</v>
      </c>
      <c r="I118" t="s">
        <v>28</v>
      </c>
      <c r="J118" t="s">
        <v>29</v>
      </c>
      <c r="K118" t="s">
        <v>46</v>
      </c>
      <c r="L118" t="s">
        <v>38</v>
      </c>
      <c r="M118" s="1">
        <v>0</v>
      </c>
      <c r="N118">
        <v>0</v>
      </c>
      <c r="O118">
        <v>0</v>
      </c>
      <c r="P118">
        <v>91.25</v>
      </c>
      <c r="Q118">
        <v>0</v>
      </c>
      <c r="R118" s="2">
        <v>0</v>
      </c>
      <c r="S118">
        <v>1</v>
      </c>
      <c r="T118">
        <v>1</v>
      </c>
    </row>
    <row r="119" spans="1:20" x14ac:dyDescent="0.2">
      <c r="A119" t="s">
        <v>638</v>
      </c>
      <c r="B119" t="s">
        <v>158</v>
      </c>
      <c r="C119" t="s">
        <v>639</v>
      </c>
      <c r="D119" t="s">
        <v>640</v>
      </c>
      <c r="E119" t="s">
        <v>24</v>
      </c>
      <c r="F119" t="s">
        <v>25</v>
      </c>
      <c r="G119" t="s">
        <v>26</v>
      </c>
      <c r="H119" t="s">
        <v>550</v>
      </c>
      <c r="I119" t="s">
        <v>28</v>
      </c>
      <c r="J119" t="s">
        <v>29</v>
      </c>
      <c r="K119" t="s">
        <v>46</v>
      </c>
      <c r="L119" t="s">
        <v>38</v>
      </c>
      <c r="M119" s="1">
        <v>0</v>
      </c>
      <c r="N119">
        <v>0</v>
      </c>
      <c r="O119">
        <v>0</v>
      </c>
      <c r="P119">
        <v>91.25</v>
      </c>
      <c r="Q119">
        <v>0</v>
      </c>
      <c r="R119" s="2">
        <v>0</v>
      </c>
      <c r="S119">
        <v>1</v>
      </c>
      <c r="T119">
        <v>1</v>
      </c>
    </row>
    <row r="120" spans="1:20" x14ac:dyDescent="0.2">
      <c r="A120" t="s">
        <v>661</v>
      </c>
      <c r="B120" t="s">
        <v>158</v>
      </c>
      <c r="C120" t="s">
        <v>662</v>
      </c>
      <c r="D120" t="s">
        <v>663</v>
      </c>
      <c r="E120" t="s">
        <v>24</v>
      </c>
      <c r="F120" t="s">
        <v>25</v>
      </c>
      <c r="G120" t="s">
        <v>26</v>
      </c>
      <c r="H120" t="s">
        <v>550</v>
      </c>
      <c r="I120" t="s">
        <v>28</v>
      </c>
      <c r="J120" t="s">
        <v>29</v>
      </c>
      <c r="K120" t="s">
        <v>46</v>
      </c>
      <c r="L120" t="s">
        <v>31</v>
      </c>
      <c r="M120" s="1">
        <v>117149.6</v>
      </c>
      <c r="N120">
        <v>1</v>
      </c>
      <c r="O120">
        <v>1</v>
      </c>
      <c r="P120">
        <v>91.25</v>
      </c>
      <c r="Q120">
        <v>0</v>
      </c>
      <c r="R120" s="2">
        <v>1</v>
      </c>
      <c r="S120">
        <v>0</v>
      </c>
      <c r="T120">
        <v>0</v>
      </c>
    </row>
    <row r="121" spans="1:20" x14ac:dyDescent="0.2">
      <c r="A121" t="s">
        <v>669</v>
      </c>
      <c r="B121" t="s">
        <v>158</v>
      </c>
      <c r="C121" t="s">
        <v>670</v>
      </c>
      <c r="D121" t="s">
        <v>671</v>
      </c>
      <c r="E121" t="s">
        <v>24</v>
      </c>
      <c r="F121" t="s">
        <v>25</v>
      </c>
      <c r="G121" t="s">
        <v>26</v>
      </c>
      <c r="H121" t="s">
        <v>550</v>
      </c>
      <c r="I121" t="s">
        <v>28</v>
      </c>
      <c r="J121" t="s">
        <v>29</v>
      </c>
      <c r="K121" t="s">
        <v>46</v>
      </c>
      <c r="L121" t="s">
        <v>31</v>
      </c>
      <c r="M121" s="1">
        <v>23974.21</v>
      </c>
      <c r="N121">
        <v>1</v>
      </c>
      <c r="O121">
        <v>1</v>
      </c>
      <c r="P121">
        <v>91.25</v>
      </c>
      <c r="Q121">
        <v>0</v>
      </c>
      <c r="R121" s="2">
        <v>1</v>
      </c>
      <c r="S121">
        <v>0</v>
      </c>
      <c r="T121">
        <v>0</v>
      </c>
    </row>
    <row r="122" spans="1:20" x14ac:dyDescent="0.2">
      <c r="A122" t="s">
        <v>20</v>
      </c>
      <c r="B122" t="s">
        <v>250</v>
      </c>
      <c r="C122" t="s">
        <v>681</v>
      </c>
      <c r="D122" t="s">
        <v>682</v>
      </c>
      <c r="E122" t="s">
        <v>24</v>
      </c>
      <c r="F122" t="s">
        <v>25</v>
      </c>
      <c r="G122" t="s">
        <v>26</v>
      </c>
      <c r="H122" t="s">
        <v>550</v>
      </c>
      <c r="I122" t="s">
        <v>28</v>
      </c>
      <c r="J122" t="s">
        <v>29</v>
      </c>
      <c r="K122" t="s">
        <v>30</v>
      </c>
      <c r="L122" t="s">
        <v>38</v>
      </c>
      <c r="M122" s="1">
        <v>0</v>
      </c>
      <c r="N122">
        <v>0</v>
      </c>
      <c r="O122">
        <v>0</v>
      </c>
      <c r="P122">
        <v>91.25</v>
      </c>
      <c r="Q122">
        <v>0</v>
      </c>
      <c r="R122" s="2">
        <v>0</v>
      </c>
      <c r="S122">
        <v>1</v>
      </c>
      <c r="T122">
        <v>1</v>
      </c>
    </row>
    <row r="123" spans="1:20" x14ac:dyDescent="0.2">
      <c r="A123" t="s">
        <v>20</v>
      </c>
      <c r="B123" t="s">
        <v>250</v>
      </c>
      <c r="C123" t="s">
        <v>685</v>
      </c>
      <c r="D123" t="s">
        <v>686</v>
      </c>
      <c r="E123" t="s">
        <v>24</v>
      </c>
      <c r="F123" t="s">
        <v>25</v>
      </c>
      <c r="G123" t="s">
        <v>26</v>
      </c>
      <c r="H123" t="s">
        <v>550</v>
      </c>
      <c r="I123" t="s">
        <v>28</v>
      </c>
      <c r="J123" t="s">
        <v>29</v>
      </c>
      <c r="K123" t="s">
        <v>46</v>
      </c>
      <c r="L123" t="s">
        <v>134</v>
      </c>
      <c r="M123" s="1">
        <v>224916</v>
      </c>
      <c r="N123">
        <v>1</v>
      </c>
      <c r="O123">
        <v>1</v>
      </c>
      <c r="P123">
        <v>91.25</v>
      </c>
      <c r="Q123">
        <v>0</v>
      </c>
      <c r="R123" s="2">
        <v>1</v>
      </c>
      <c r="S123">
        <v>0</v>
      </c>
      <c r="T123">
        <v>0</v>
      </c>
    </row>
    <row r="124" spans="1:20" x14ac:dyDescent="0.2">
      <c r="A124" t="s">
        <v>705</v>
      </c>
      <c r="B124" t="s">
        <v>262</v>
      </c>
      <c r="C124" t="s">
        <v>706</v>
      </c>
      <c r="D124" t="s">
        <v>707</v>
      </c>
      <c r="E124" t="s">
        <v>24</v>
      </c>
      <c r="F124" t="s">
        <v>58</v>
      </c>
      <c r="G124" t="s">
        <v>26</v>
      </c>
      <c r="H124" t="s">
        <v>550</v>
      </c>
      <c r="I124" t="s">
        <v>28</v>
      </c>
      <c r="J124" t="s">
        <v>29</v>
      </c>
      <c r="K124" t="s">
        <v>46</v>
      </c>
      <c r="L124" t="s">
        <v>31</v>
      </c>
      <c r="M124" s="1">
        <v>4438.71</v>
      </c>
      <c r="N124">
        <v>1</v>
      </c>
      <c r="O124">
        <v>1</v>
      </c>
      <c r="P124">
        <v>91.25</v>
      </c>
      <c r="Q124">
        <v>0</v>
      </c>
      <c r="R124" s="2">
        <v>1</v>
      </c>
      <c r="S124">
        <v>0</v>
      </c>
      <c r="T124">
        <v>0</v>
      </c>
    </row>
    <row r="125" spans="1:20" x14ac:dyDescent="0.2">
      <c r="A125" t="s">
        <v>32</v>
      </c>
      <c r="B125" t="s">
        <v>21</v>
      </c>
      <c r="C125" t="s">
        <v>746</v>
      </c>
      <c r="D125" t="s">
        <v>747</v>
      </c>
      <c r="E125" t="s">
        <v>24</v>
      </c>
      <c r="F125" t="s">
        <v>25</v>
      </c>
      <c r="G125" t="s">
        <v>26</v>
      </c>
      <c r="H125" t="s">
        <v>748</v>
      </c>
      <c r="I125" t="s">
        <v>28</v>
      </c>
      <c r="J125" t="s">
        <v>29</v>
      </c>
      <c r="K125" t="s">
        <v>46</v>
      </c>
      <c r="L125" t="s">
        <v>556</v>
      </c>
      <c r="M125" s="1">
        <v>0</v>
      </c>
      <c r="N125">
        <v>0</v>
      </c>
      <c r="O125">
        <v>0</v>
      </c>
      <c r="P125">
        <v>91.25</v>
      </c>
      <c r="Q125">
        <v>0</v>
      </c>
      <c r="R125" s="2">
        <v>0</v>
      </c>
      <c r="S125">
        <v>0</v>
      </c>
      <c r="T125">
        <v>1</v>
      </c>
    </row>
    <row r="126" spans="1:20" x14ac:dyDescent="0.2">
      <c r="A126" t="s">
        <v>39</v>
      </c>
      <c r="B126" t="s">
        <v>21</v>
      </c>
      <c r="C126" t="s">
        <v>764</v>
      </c>
      <c r="D126" t="s">
        <v>765</v>
      </c>
      <c r="E126" t="s">
        <v>24</v>
      </c>
      <c r="F126" t="s">
        <v>25</v>
      </c>
      <c r="G126" t="s">
        <v>26</v>
      </c>
      <c r="H126" t="s">
        <v>748</v>
      </c>
      <c r="I126" t="s">
        <v>28</v>
      </c>
      <c r="J126" t="s">
        <v>29</v>
      </c>
      <c r="K126" t="s">
        <v>46</v>
      </c>
      <c r="L126" t="s">
        <v>38</v>
      </c>
      <c r="M126" s="1">
        <v>0</v>
      </c>
      <c r="N126">
        <v>0</v>
      </c>
      <c r="O126">
        <v>0</v>
      </c>
      <c r="P126">
        <v>91.25</v>
      </c>
      <c r="Q126">
        <v>0</v>
      </c>
      <c r="R126" s="2">
        <v>0</v>
      </c>
      <c r="S126">
        <v>1</v>
      </c>
      <c r="T126">
        <v>1</v>
      </c>
    </row>
    <row r="127" spans="1:20" x14ac:dyDescent="0.2">
      <c r="A127" t="s">
        <v>774</v>
      </c>
      <c r="B127" t="s">
        <v>21</v>
      </c>
      <c r="C127" t="s">
        <v>775</v>
      </c>
      <c r="D127" t="s">
        <v>776</v>
      </c>
      <c r="E127" t="s">
        <v>24</v>
      </c>
      <c r="F127" t="s">
        <v>25</v>
      </c>
      <c r="G127" t="s">
        <v>26</v>
      </c>
      <c r="H127" t="s">
        <v>748</v>
      </c>
      <c r="I127" t="s">
        <v>28</v>
      </c>
      <c r="J127" t="s">
        <v>29</v>
      </c>
      <c r="K127" t="s">
        <v>46</v>
      </c>
      <c r="L127" t="s">
        <v>38</v>
      </c>
      <c r="M127" s="1">
        <v>0</v>
      </c>
      <c r="N127">
        <v>0</v>
      </c>
      <c r="O127">
        <v>0</v>
      </c>
      <c r="P127">
        <v>91.25</v>
      </c>
      <c r="Q127">
        <v>0</v>
      </c>
      <c r="R127" s="2">
        <v>0</v>
      </c>
      <c r="S127">
        <v>1</v>
      </c>
      <c r="T127">
        <v>1</v>
      </c>
    </row>
    <row r="128" spans="1:20" x14ac:dyDescent="0.2">
      <c r="A128" t="s">
        <v>39</v>
      </c>
      <c r="B128" t="s">
        <v>21</v>
      </c>
      <c r="C128" t="s">
        <v>787</v>
      </c>
      <c r="D128" t="s">
        <v>788</v>
      </c>
      <c r="E128" t="s">
        <v>24</v>
      </c>
      <c r="F128" t="s">
        <v>25</v>
      </c>
      <c r="G128" t="s">
        <v>26</v>
      </c>
      <c r="H128" t="s">
        <v>748</v>
      </c>
      <c r="I128" t="s">
        <v>28</v>
      </c>
      <c r="J128" t="s">
        <v>29</v>
      </c>
      <c r="K128" t="s">
        <v>46</v>
      </c>
      <c r="L128" t="s">
        <v>38</v>
      </c>
      <c r="M128" s="1">
        <v>0</v>
      </c>
      <c r="N128">
        <v>0</v>
      </c>
      <c r="O128">
        <v>0</v>
      </c>
      <c r="P128">
        <v>91.25</v>
      </c>
      <c r="Q128">
        <v>0</v>
      </c>
      <c r="R128" s="2">
        <v>0</v>
      </c>
      <c r="S128">
        <v>1</v>
      </c>
      <c r="T128">
        <v>1</v>
      </c>
    </row>
    <row r="129" spans="1:20" x14ac:dyDescent="0.2">
      <c r="A129" t="s">
        <v>826</v>
      </c>
      <c r="B129" t="s">
        <v>21</v>
      </c>
      <c r="C129" t="s">
        <v>827</v>
      </c>
      <c r="D129" t="s">
        <v>828</v>
      </c>
      <c r="E129" t="s">
        <v>24</v>
      </c>
      <c r="F129" t="s">
        <v>25</v>
      </c>
      <c r="G129" t="s">
        <v>26</v>
      </c>
      <c r="H129" t="s">
        <v>748</v>
      </c>
      <c r="I129" t="s">
        <v>28</v>
      </c>
      <c r="J129" t="s">
        <v>29</v>
      </c>
      <c r="K129" t="s">
        <v>46</v>
      </c>
      <c r="L129" t="s">
        <v>31</v>
      </c>
      <c r="M129" s="1">
        <v>125767.21</v>
      </c>
      <c r="N129">
        <v>1</v>
      </c>
      <c r="O129">
        <v>1</v>
      </c>
      <c r="P129">
        <v>91.25</v>
      </c>
      <c r="Q129">
        <v>0</v>
      </c>
      <c r="R129" s="2">
        <v>1</v>
      </c>
      <c r="S129">
        <v>0</v>
      </c>
      <c r="T129">
        <v>0</v>
      </c>
    </row>
    <row r="130" spans="1:20" x14ac:dyDescent="0.2">
      <c r="A130" t="s">
        <v>219</v>
      </c>
      <c r="B130" t="s">
        <v>158</v>
      </c>
      <c r="C130" t="s">
        <v>847</v>
      </c>
      <c r="D130" t="s">
        <v>848</v>
      </c>
      <c r="E130" t="s">
        <v>24</v>
      </c>
      <c r="F130" t="s">
        <v>25</v>
      </c>
      <c r="G130" t="s">
        <v>26</v>
      </c>
      <c r="H130" t="s">
        <v>748</v>
      </c>
      <c r="I130" t="s">
        <v>28</v>
      </c>
      <c r="J130" t="s">
        <v>29</v>
      </c>
      <c r="K130" t="s">
        <v>46</v>
      </c>
      <c r="L130" t="s">
        <v>38</v>
      </c>
      <c r="M130" s="1">
        <v>0</v>
      </c>
      <c r="N130">
        <v>0</v>
      </c>
      <c r="O130">
        <v>0</v>
      </c>
      <c r="P130">
        <v>91.25</v>
      </c>
      <c r="Q130">
        <v>0</v>
      </c>
      <c r="R130" s="2">
        <v>0</v>
      </c>
      <c r="S130">
        <v>1</v>
      </c>
      <c r="T130">
        <v>1</v>
      </c>
    </row>
    <row r="131" spans="1:20" x14ac:dyDescent="0.2">
      <c r="A131" t="s">
        <v>237</v>
      </c>
      <c r="B131" t="s">
        <v>158</v>
      </c>
      <c r="C131" t="s">
        <v>855</v>
      </c>
      <c r="D131" t="s">
        <v>856</v>
      </c>
      <c r="E131" t="s">
        <v>24</v>
      </c>
      <c r="F131" t="s">
        <v>25</v>
      </c>
      <c r="G131" t="s">
        <v>26</v>
      </c>
      <c r="H131" t="s">
        <v>748</v>
      </c>
      <c r="I131" t="s">
        <v>28</v>
      </c>
      <c r="J131" t="s">
        <v>29</v>
      </c>
      <c r="K131" t="s">
        <v>46</v>
      </c>
      <c r="L131" t="s">
        <v>38</v>
      </c>
      <c r="M131" s="1">
        <v>0</v>
      </c>
      <c r="N131">
        <v>0</v>
      </c>
      <c r="O131">
        <v>0</v>
      </c>
      <c r="P131">
        <v>91.25</v>
      </c>
      <c r="Q131">
        <v>0</v>
      </c>
      <c r="R131" s="2">
        <v>0</v>
      </c>
      <c r="S131">
        <v>1</v>
      </c>
      <c r="T131">
        <v>1</v>
      </c>
    </row>
    <row r="132" spans="1:20" x14ac:dyDescent="0.2">
      <c r="A132" t="s">
        <v>438</v>
      </c>
      <c r="B132" t="s">
        <v>158</v>
      </c>
      <c r="C132" t="s">
        <v>862</v>
      </c>
      <c r="D132" t="s">
        <v>863</v>
      </c>
      <c r="E132" t="s">
        <v>24</v>
      </c>
      <c r="F132" t="s">
        <v>25</v>
      </c>
      <c r="G132" t="s">
        <v>26</v>
      </c>
      <c r="H132" t="s">
        <v>748</v>
      </c>
      <c r="I132" t="s">
        <v>28</v>
      </c>
      <c r="J132" t="s">
        <v>29</v>
      </c>
      <c r="K132" t="s">
        <v>46</v>
      </c>
      <c r="L132" t="s">
        <v>38</v>
      </c>
      <c r="M132" s="1">
        <v>0</v>
      </c>
      <c r="N132">
        <v>0</v>
      </c>
      <c r="O132">
        <v>0</v>
      </c>
      <c r="P132">
        <v>91.25</v>
      </c>
      <c r="Q132">
        <v>0</v>
      </c>
      <c r="R132" s="2">
        <v>0</v>
      </c>
      <c r="S132">
        <v>1</v>
      </c>
      <c r="T132">
        <v>1</v>
      </c>
    </row>
    <row r="133" spans="1:20" x14ac:dyDescent="0.2">
      <c r="A133" t="s">
        <v>237</v>
      </c>
      <c r="B133" t="s">
        <v>158</v>
      </c>
      <c r="C133" t="s">
        <v>864</v>
      </c>
      <c r="D133" t="s">
        <v>865</v>
      </c>
      <c r="E133" t="s">
        <v>24</v>
      </c>
      <c r="F133" t="s">
        <v>25</v>
      </c>
      <c r="G133" t="s">
        <v>26</v>
      </c>
      <c r="H133" t="s">
        <v>748</v>
      </c>
      <c r="I133" t="s">
        <v>28</v>
      </c>
      <c r="J133" t="s">
        <v>29</v>
      </c>
      <c r="K133" t="s">
        <v>46</v>
      </c>
      <c r="L133" t="s">
        <v>38</v>
      </c>
      <c r="M133" s="1">
        <v>0</v>
      </c>
      <c r="N133">
        <v>0</v>
      </c>
      <c r="O133">
        <v>0</v>
      </c>
      <c r="P133">
        <v>91.25</v>
      </c>
      <c r="Q133">
        <v>0</v>
      </c>
      <c r="R133" s="2">
        <v>0</v>
      </c>
      <c r="S133">
        <v>1</v>
      </c>
      <c r="T133">
        <v>1</v>
      </c>
    </row>
    <row r="134" spans="1:20" x14ac:dyDescent="0.2">
      <c r="A134" t="s">
        <v>713</v>
      </c>
      <c r="B134" t="s">
        <v>158</v>
      </c>
      <c r="C134" t="s">
        <v>866</v>
      </c>
      <c r="D134" t="s">
        <v>867</v>
      </c>
      <c r="E134" t="s">
        <v>24</v>
      </c>
      <c r="F134" t="s">
        <v>25</v>
      </c>
      <c r="G134" t="s">
        <v>26</v>
      </c>
      <c r="H134" t="s">
        <v>748</v>
      </c>
      <c r="I134" t="s">
        <v>28</v>
      </c>
      <c r="J134" t="s">
        <v>29</v>
      </c>
      <c r="K134" t="s">
        <v>46</v>
      </c>
      <c r="L134" t="s">
        <v>38</v>
      </c>
      <c r="M134" s="1">
        <v>0</v>
      </c>
      <c r="N134">
        <v>0</v>
      </c>
      <c r="O134">
        <v>0</v>
      </c>
      <c r="P134">
        <v>91.25</v>
      </c>
      <c r="Q134">
        <v>0</v>
      </c>
      <c r="R134" s="2">
        <v>0</v>
      </c>
      <c r="S134">
        <v>1</v>
      </c>
      <c r="T134">
        <v>1</v>
      </c>
    </row>
    <row r="135" spans="1:20" x14ac:dyDescent="0.2">
      <c r="A135" t="s">
        <v>669</v>
      </c>
      <c r="B135" t="s">
        <v>158</v>
      </c>
      <c r="C135" t="s">
        <v>883</v>
      </c>
      <c r="D135" t="s">
        <v>884</v>
      </c>
      <c r="E135" t="s">
        <v>24</v>
      </c>
      <c r="F135" t="s">
        <v>25</v>
      </c>
      <c r="G135" t="s">
        <v>26</v>
      </c>
      <c r="H135" t="s">
        <v>748</v>
      </c>
      <c r="I135" t="s">
        <v>28</v>
      </c>
      <c r="J135" t="s">
        <v>29</v>
      </c>
      <c r="K135" t="s">
        <v>46</v>
      </c>
      <c r="L135" t="s">
        <v>38</v>
      </c>
      <c r="M135" s="1">
        <v>0</v>
      </c>
      <c r="N135">
        <v>0</v>
      </c>
      <c r="O135">
        <v>0</v>
      </c>
      <c r="P135">
        <v>91.25</v>
      </c>
      <c r="Q135">
        <v>0</v>
      </c>
      <c r="R135" s="2">
        <v>0</v>
      </c>
      <c r="S135">
        <v>1</v>
      </c>
      <c r="T135">
        <v>1</v>
      </c>
    </row>
    <row r="136" spans="1:20" x14ac:dyDescent="0.2">
      <c r="A136" t="s">
        <v>953</v>
      </c>
      <c r="B136" t="s">
        <v>158</v>
      </c>
      <c r="C136" t="s">
        <v>954</v>
      </c>
      <c r="D136" t="s">
        <v>955</v>
      </c>
      <c r="E136" t="s">
        <v>24</v>
      </c>
      <c r="F136" t="s">
        <v>25</v>
      </c>
      <c r="G136" t="s">
        <v>26</v>
      </c>
      <c r="H136" t="s">
        <v>748</v>
      </c>
      <c r="I136" t="s">
        <v>28</v>
      </c>
      <c r="J136" t="s">
        <v>29</v>
      </c>
      <c r="K136" t="s">
        <v>46</v>
      </c>
      <c r="L136" t="s">
        <v>31</v>
      </c>
      <c r="M136" s="1">
        <v>240000</v>
      </c>
      <c r="N136">
        <v>1</v>
      </c>
      <c r="O136">
        <v>1</v>
      </c>
      <c r="P136">
        <v>91.25</v>
      </c>
      <c r="Q136">
        <v>0</v>
      </c>
      <c r="R136" s="2">
        <v>1</v>
      </c>
      <c r="S136">
        <v>0</v>
      </c>
      <c r="T136">
        <v>0</v>
      </c>
    </row>
    <row r="137" spans="1:20" x14ac:dyDescent="0.2">
      <c r="A137" t="s">
        <v>687</v>
      </c>
      <c r="B137" t="s">
        <v>250</v>
      </c>
      <c r="C137" t="s">
        <v>978</v>
      </c>
      <c r="D137" t="s">
        <v>979</v>
      </c>
      <c r="E137" t="s">
        <v>24</v>
      </c>
      <c r="F137" t="s">
        <v>25</v>
      </c>
      <c r="G137" t="s">
        <v>26</v>
      </c>
      <c r="H137" t="s">
        <v>748</v>
      </c>
      <c r="I137" t="s">
        <v>28</v>
      </c>
      <c r="J137" t="s">
        <v>29</v>
      </c>
      <c r="K137" t="s">
        <v>46</v>
      </c>
      <c r="L137" t="s">
        <v>38</v>
      </c>
      <c r="M137" s="1">
        <v>0</v>
      </c>
      <c r="N137">
        <v>0</v>
      </c>
      <c r="O137">
        <v>0</v>
      </c>
      <c r="P137">
        <v>91.25</v>
      </c>
      <c r="Q137">
        <v>0</v>
      </c>
      <c r="R137" s="2">
        <v>0</v>
      </c>
      <c r="S137">
        <v>1</v>
      </c>
      <c r="T137">
        <v>1</v>
      </c>
    </row>
    <row r="138" spans="1:20" x14ac:dyDescent="0.2">
      <c r="A138" t="s">
        <v>980</v>
      </c>
      <c r="B138" t="s">
        <v>250</v>
      </c>
      <c r="C138" t="s">
        <v>981</v>
      </c>
      <c r="D138" t="s">
        <v>982</v>
      </c>
      <c r="E138" t="s">
        <v>24</v>
      </c>
      <c r="F138" t="s">
        <v>25</v>
      </c>
      <c r="G138" t="s">
        <v>26</v>
      </c>
      <c r="H138" t="s">
        <v>748</v>
      </c>
      <c r="I138" t="s">
        <v>28</v>
      </c>
      <c r="J138" t="s">
        <v>29</v>
      </c>
      <c r="K138" t="s">
        <v>46</v>
      </c>
      <c r="L138" t="s">
        <v>31</v>
      </c>
      <c r="M138" s="1">
        <v>235386.25</v>
      </c>
      <c r="N138">
        <v>1</v>
      </c>
      <c r="O138">
        <v>1</v>
      </c>
      <c r="P138">
        <v>91.25</v>
      </c>
      <c r="Q138">
        <v>0</v>
      </c>
      <c r="R138" s="2">
        <v>1</v>
      </c>
      <c r="S138">
        <v>0</v>
      </c>
      <c r="T138">
        <v>0</v>
      </c>
    </row>
    <row r="139" spans="1:20" x14ac:dyDescent="0.2">
      <c r="A139" t="s">
        <v>254</v>
      </c>
      <c r="B139" t="s">
        <v>250</v>
      </c>
      <c r="C139" t="s">
        <v>1340</v>
      </c>
      <c r="D139" t="s">
        <v>1341</v>
      </c>
      <c r="E139" t="s">
        <v>24</v>
      </c>
      <c r="F139" t="s">
        <v>25</v>
      </c>
      <c r="G139" t="s">
        <v>26</v>
      </c>
      <c r="H139" t="s">
        <v>1071</v>
      </c>
      <c r="I139" t="s">
        <v>28</v>
      </c>
      <c r="J139" t="s">
        <v>29</v>
      </c>
      <c r="K139" t="s">
        <v>46</v>
      </c>
      <c r="L139" t="s">
        <v>556</v>
      </c>
      <c r="M139" s="1">
        <v>0</v>
      </c>
      <c r="N139">
        <v>0</v>
      </c>
      <c r="O139">
        <v>0</v>
      </c>
      <c r="P139">
        <v>91.25</v>
      </c>
      <c r="Q139">
        <v>1</v>
      </c>
      <c r="R139" s="2">
        <v>0</v>
      </c>
      <c r="S139">
        <v>0</v>
      </c>
      <c r="T139">
        <v>0</v>
      </c>
    </row>
    <row r="140" spans="1:20" x14ac:dyDescent="0.2">
      <c r="A140" t="s">
        <v>249</v>
      </c>
      <c r="B140" t="s">
        <v>250</v>
      </c>
      <c r="C140" t="s">
        <v>251</v>
      </c>
      <c r="D140" t="s">
        <v>252</v>
      </c>
      <c r="E140" t="s">
        <v>24</v>
      </c>
      <c r="F140" t="s">
        <v>25</v>
      </c>
      <c r="G140" t="s">
        <v>26</v>
      </c>
      <c r="H140" t="s">
        <v>27</v>
      </c>
      <c r="I140" t="s">
        <v>253</v>
      </c>
      <c r="J140" t="s">
        <v>29</v>
      </c>
      <c r="K140" t="s">
        <v>46</v>
      </c>
      <c r="L140" t="s">
        <v>38</v>
      </c>
      <c r="M140" s="1">
        <v>242504</v>
      </c>
      <c r="N140">
        <v>0</v>
      </c>
      <c r="O140">
        <v>1</v>
      </c>
      <c r="P140">
        <v>91.25</v>
      </c>
      <c r="Q140">
        <v>0</v>
      </c>
      <c r="R140" s="2">
        <v>1</v>
      </c>
      <c r="S140">
        <v>1</v>
      </c>
      <c r="T140">
        <v>0</v>
      </c>
    </row>
    <row r="141" spans="1:20" x14ac:dyDescent="0.2">
      <c r="A141" t="s">
        <v>358</v>
      </c>
      <c r="B141" t="s">
        <v>21</v>
      </c>
      <c r="C141" t="s">
        <v>359</v>
      </c>
      <c r="D141" t="s">
        <v>360</v>
      </c>
      <c r="E141" t="s">
        <v>24</v>
      </c>
      <c r="F141" t="s">
        <v>25</v>
      </c>
      <c r="G141" t="s">
        <v>26</v>
      </c>
      <c r="H141" t="s">
        <v>319</v>
      </c>
      <c r="I141" t="s">
        <v>253</v>
      </c>
      <c r="J141" t="s">
        <v>29</v>
      </c>
      <c r="K141" t="s">
        <v>46</v>
      </c>
      <c r="L141" t="s">
        <v>31</v>
      </c>
      <c r="M141" s="1">
        <v>234770.4</v>
      </c>
      <c r="N141">
        <v>1</v>
      </c>
      <c r="O141">
        <v>1</v>
      </c>
      <c r="P141">
        <v>91.25</v>
      </c>
      <c r="Q141">
        <v>0</v>
      </c>
      <c r="R141" s="2">
        <v>1</v>
      </c>
      <c r="S141">
        <v>0</v>
      </c>
      <c r="T141">
        <v>0</v>
      </c>
    </row>
    <row r="142" spans="1:20" x14ac:dyDescent="0.2">
      <c r="A142" t="s">
        <v>384</v>
      </c>
      <c r="B142" t="s">
        <v>21</v>
      </c>
      <c r="C142" t="s">
        <v>749</v>
      </c>
      <c r="D142" t="s">
        <v>750</v>
      </c>
      <c r="E142" t="s">
        <v>24</v>
      </c>
      <c r="F142" t="s">
        <v>25</v>
      </c>
      <c r="G142" t="s">
        <v>26</v>
      </c>
      <c r="H142" t="s">
        <v>748</v>
      </c>
      <c r="I142" t="s">
        <v>253</v>
      </c>
      <c r="J142" t="s">
        <v>29</v>
      </c>
      <c r="K142" t="s">
        <v>46</v>
      </c>
      <c r="L142" t="s">
        <v>38</v>
      </c>
      <c r="M142" s="1">
        <v>0</v>
      </c>
      <c r="N142">
        <v>0</v>
      </c>
      <c r="O142">
        <v>0</v>
      </c>
      <c r="P142">
        <v>91.25</v>
      </c>
      <c r="Q142">
        <v>0</v>
      </c>
      <c r="R142" s="2">
        <v>0</v>
      </c>
      <c r="S142">
        <v>1</v>
      </c>
      <c r="T142">
        <v>1</v>
      </c>
    </row>
    <row r="143" spans="1:20" x14ac:dyDescent="0.2">
      <c r="A143" t="s">
        <v>849</v>
      </c>
      <c r="B143" t="s">
        <v>158</v>
      </c>
      <c r="C143" t="s">
        <v>850</v>
      </c>
      <c r="D143" t="s">
        <v>851</v>
      </c>
      <c r="E143" t="s">
        <v>24</v>
      </c>
      <c r="F143" t="s">
        <v>25</v>
      </c>
      <c r="G143" t="s">
        <v>26</v>
      </c>
      <c r="H143" t="s">
        <v>748</v>
      </c>
      <c r="I143" t="s">
        <v>253</v>
      </c>
      <c r="J143" t="s">
        <v>29</v>
      </c>
      <c r="K143" t="s">
        <v>46</v>
      </c>
      <c r="L143" t="s">
        <v>38</v>
      </c>
      <c r="M143" s="1">
        <v>0</v>
      </c>
      <c r="N143">
        <v>0</v>
      </c>
      <c r="O143">
        <v>0</v>
      </c>
      <c r="P143">
        <v>91.25</v>
      </c>
      <c r="Q143">
        <v>0</v>
      </c>
      <c r="R143" s="2">
        <v>0</v>
      </c>
      <c r="S143">
        <v>1</v>
      </c>
      <c r="T143">
        <v>1</v>
      </c>
    </row>
    <row r="144" spans="1:20" x14ac:dyDescent="0.2">
      <c r="A144" t="s">
        <v>849</v>
      </c>
      <c r="B144" t="s">
        <v>158</v>
      </c>
      <c r="C144" t="s">
        <v>939</v>
      </c>
      <c r="D144" t="s">
        <v>940</v>
      </c>
      <c r="E144" t="s">
        <v>24</v>
      </c>
      <c r="F144" t="s">
        <v>25</v>
      </c>
      <c r="G144" t="s">
        <v>26</v>
      </c>
      <c r="H144" t="s">
        <v>748</v>
      </c>
      <c r="I144" t="s">
        <v>253</v>
      </c>
      <c r="J144" t="s">
        <v>29</v>
      </c>
      <c r="K144" t="s">
        <v>46</v>
      </c>
      <c r="L144" t="s">
        <v>38</v>
      </c>
      <c r="M144" s="1">
        <v>0</v>
      </c>
      <c r="N144">
        <v>0</v>
      </c>
      <c r="O144">
        <v>0</v>
      </c>
      <c r="P144">
        <v>91.25</v>
      </c>
      <c r="Q144">
        <v>0</v>
      </c>
      <c r="R144" s="2">
        <v>0</v>
      </c>
      <c r="S144">
        <v>1</v>
      </c>
      <c r="T144">
        <v>1</v>
      </c>
    </row>
    <row r="145" spans="1:20" x14ac:dyDescent="0.2">
      <c r="A145" t="s">
        <v>967</v>
      </c>
      <c r="B145" t="s">
        <v>250</v>
      </c>
      <c r="C145" t="s">
        <v>968</v>
      </c>
      <c r="D145" t="s">
        <v>969</v>
      </c>
      <c r="E145" t="s">
        <v>24</v>
      </c>
      <c r="F145" t="s">
        <v>25</v>
      </c>
      <c r="G145" t="s">
        <v>26</v>
      </c>
      <c r="H145" t="s">
        <v>748</v>
      </c>
      <c r="I145" t="s">
        <v>253</v>
      </c>
      <c r="J145" t="s">
        <v>29</v>
      </c>
      <c r="K145" t="s">
        <v>46</v>
      </c>
      <c r="L145" t="s">
        <v>38</v>
      </c>
      <c r="M145" s="1">
        <v>0</v>
      </c>
      <c r="N145">
        <v>0</v>
      </c>
      <c r="O145">
        <v>0</v>
      </c>
      <c r="P145">
        <v>91.25</v>
      </c>
      <c r="Q145">
        <v>0</v>
      </c>
      <c r="R145" s="2">
        <v>0</v>
      </c>
      <c r="S145">
        <v>1</v>
      </c>
      <c r="T145">
        <v>1</v>
      </c>
    </row>
    <row r="146" spans="1:20" x14ac:dyDescent="0.2">
      <c r="A146" t="s">
        <v>970</v>
      </c>
      <c r="B146" t="s">
        <v>250</v>
      </c>
      <c r="C146" t="s">
        <v>971</v>
      </c>
      <c r="D146" t="s">
        <v>972</v>
      </c>
      <c r="E146" t="s">
        <v>24</v>
      </c>
      <c r="F146" t="s">
        <v>25</v>
      </c>
      <c r="G146" t="s">
        <v>26</v>
      </c>
      <c r="H146" t="s">
        <v>748</v>
      </c>
      <c r="I146" t="s">
        <v>253</v>
      </c>
      <c r="J146" t="s">
        <v>29</v>
      </c>
      <c r="K146" t="s">
        <v>46</v>
      </c>
      <c r="L146" t="s">
        <v>38</v>
      </c>
      <c r="M146" s="1">
        <v>0</v>
      </c>
      <c r="N146">
        <v>0</v>
      </c>
      <c r="O146">
        <v>0</v>
      </c>
      <c r="P146">
        <v>91.25</v>
      </c>
      <c r="Q146">
        <v>0</v>
      </c>
      <c r="R146" s="2">
        <v>0</v>
      </c>
      <c r="S146">
        <v>1</v>
      </c>
      <c r="T146">
        <v>1</v>
      </c>
    </row>
    <row r="147" spans="1:20" x14ac:dyDescent="0.2">
      <c r="A147" t="s">
        <v>741</v>
      </c>
      <c r="B147" t="s">
        <v>262</v>
      </c>
      <c r="C147" t="s">
        <v>1001</v>
      </c>
      <c r="D147" t="s">
        <v>1002</v>
      </c>
      <c r="E147" t="s">
        <v>24</v>
      </c>
      <c r="F147" t="s">
        <v>25</v>
      </c>
      <c r="G147" t="s">
        <v>26</v>
      </c>
      <c r="H147" t="s">
        <v>748</v>
      </c>
      <c r="I147" t="s">
        <v>253</v>
      </c>
      <c r="J147" t="s">
        <v>29</v>
      </c>
      <c r="K147" t="s">
        <v>46</v>
      </c>
      <c r="L147" t="s">
        <v>38</v>
      </c>
      <c r="M147" s="1">
        <v>0</v>
      </c>
      <c r="N147">
        <v>0</v>
      </c>
      <c r="O147">
        <v>0</v>
      </c>
      <c r="P147">
        <v>91.25</v>
      </c>
      <c r="Q147">
        <v>0</v>
      </c>
      <c r="R147" s="2">
        <v>0</v>
      </c>
      <c r="S147">
        <v>1</v>
      </c>
      <c r="T147">
        <v>1</v>
      </c>
    </row>
    <row r="148" spans="1:20" x14ac:dyDescent="0.2">
      <c r="A148" t="s">
        <v>1116</v>
      </c>
      <c r="B148" t="s">
        <v>21</v>
      </c>
      <c r="C148" t="s">
        <v>1117</v>
      </c>
      <c r="D148" t="s">
        <v>1118</v>
      </c>
      <c r="E148" t="s">
        <v>24</v>
      </c>
      <c r="F148" t="s">
        <v>25</v>
      </c>
      <c r="G148" t="s">
        <v>26</v>
      </c>
      <c r="H148" t="s">
        <v>1071</v>
      </c>
      <c r="I148" t="s">
        <v>253</v>
      </c>
      <c r="J148" t="s">
        <v>29</v>
      </c>
      <c r="K148" t="s">
        <v>46</v>
      </c>
      <c r="L148" t="s">
        <v>556</v>
      </c>
      <c r="M148" s="1">
        <v>0</v>
      </c>
      <c r="N148">
        <v>0</v>
      </c>
      <c r="O148">
        <v>0</v>
      </c>
      <c r="P148">
        <v>91.25</v>
      </c>
      <c r="Q148">
        <v>1</v>
      </c>
      <c r="R148" s="2">
        <v>0</v>
      </c>
      <c r="S148">
        <v>0</v>
      </c>
      <c r="T148">
        <v>0</v>
      </c>
    </row>
    <row r="149" spans="1:20" x14ac:dyDescent="0.2">
      <c r="A149" t="s">
        <v>1326</v>
      </c>
      <c r="B149" t="s">
        <v>158</v>
      </c>
      <c r="C149" t="s">
        <v>1327</v>
      </c>
      <c r="D149" t="s">
        <v>1328</v>
      </c>
      <c r="E149" t="s">
        <v>24</v>
      </c>
      <c r="F149" t="s">
        <v>25</v>
      </c>
      <c r="G149" t="s">
        <v>26</v>
      </c>
      <c r="H149" t="s">
        <v>1071</v>
      </c>
      <c r="I149" t="s">
        <v>253</v>
      </c>
      <c r="J149" t="s">
        <v>29</v>
      </c>
      <c r="K149" t="s">
        <v>46</v>
      </c>
      <c r="L149" t="s">
        <v>556</v>
      </c>
      <c r="M149" s="1">
        <v>0</v>
      </c>
      <c r="N149">
        <v>0</v>
      </c>
      <c r="O149">
        <v>0</v>
      </c>
      <c r="P149">
        <v>91.25</v>
      </c>
      <c r="Q149">
        <v>1</v>
      </c>
      <c r="R149" s="2">
        <v>0</v>
      </c>
      <c r="S149">
        <v>0</v>
      </c>
      <c r="T149">
        <v>0</v>
      </c>
    </row>
    <row r="150" spans="1:20" x14ac:dyDescent="0.2">
      <c r="A150" t="s">
        <v>1346</v>
      </c>
      <c r="B150" t="s">
        <v>250</v>
      </c>
      <c r="C150" t="s">
        <v>1347</v>
      </c>
      <c r="D150" t="s">
        <v>1348</v>
      </c>
      <c r="E150" t="s">
        <v>24</v>
      </c>
      <c r="F150" t="s">
        <v>25</v>
      </c>
      <c r="G150" t="s">
        <v>26</v>
      </c>
      <c r="H150" t="s">
        <v>1071</v>
      </c>
      <c r="I150" t="s">
        <v>253</v>
      </c>
      <c r="J150" t="s">
        <v>29</v>
      </c>
      <c r="K150" t="s">
        <v>46</v>
      </c>
      <c r="L150" t="s">
        <v>556</v>
      </c>
      <c r="M150" s="1">
        <v>0</v>
      </c>
      <c r="N150">
        <v>0</v>
      </c>
      <c r="O150">
        <v>0</v>
      </c>
      <c r="P150">
        <v>91.25</v>
      </c>
      <c r="Q150">
        <v>1</v>
      </c>
      <c r="R150" s="2">
        <v>0</v>
      </c>
      <c r="S150">
        <v>0</v>
      </c>
      <c r="T150">
        <v>0</v>
      </c>
    </row>
    <row r="151" spans="1:20" x14ac:dyDescent="0.2">
      <c r="A151" t="s">
        <v>1331</v>
      </c>
      <c r="B151" t="s">
        <v>250</v>
      </c>
      <c r="C151" t="s">
        <v>1349</v>
      </c>
      <c r="D151" t="s">
        <v>1350</v>
      </c>
      <c r="E151" t="s">
        <v>24</v>
      </c>
      <c r="F151" t="s">
        <v>25</v>
      </c>
      <c r="G151" t="s">
        <v>26</v>
      </c>
      <c r="H151" t="s">
        <v>1071</v>
      </c>
      <c r="I151" t="s">
        <v>253</v>
      </c>
      <c r="J151" t="s">
        <v>29</v>
      </c>
      <c r="K151" t="s">
        <v>46</v>
      </c>
      <c r="L151" t="s">
        <v>556</v>
      </c>
      <c r="M151" s="1">
        <v>0</v>
      </c>
      <c r="N151">
        <v>0</v>
      </c>
      <c r="O151">
        <v>0</v>
      </c>
      <c r="P151">
        <v>91.25</v>
      </c>
      <c r="Q151">
        <v>1</v>
      </c>
      <c r="R151" s="2">
        <v>0</v>
      </c>
      <c r="S151">
        <v>0</v>
      </c>
      <c r="T151">
        <v>0</v>
      </c>
    </row>
    <row r="152" spans="1:20" x14ac:dyDescent="0.2">
      <c r="A152" t="s">
        <v>649</v>
      </c>
      <c r="B152" t="s">
        <v>158</v>
      </c>
      <c r="C152" t="s">
        <v>650</v>
      </c>
      <c r="D152" t="s">
        <v>651</v>
      </c>
      <c r="E152" t="s">
        <v>24</v>
      </c>
      <c r="F152" t="s">
        <v>25</v>
      </c>
      <c r="G152" t="s">
        <v>26</v>
      </c>
      <c r="H152" t="s">
        <v>550</v>
      </c>
      <c r="I152" t="s">
        <v>652</v>
      </c>
      <c r="J152" t="s">
        <v>29</v>
      </c>
      <c r="K152" t="s">
        <v>46</v>
      </c>
      <c r="L152" t="s">
        <v>38</v>
      </c>
      <c r="M152" s="1">
        <v>0</v>
      </c>
      <c r="N152">
        <v>0</v>
      </c>
      <c r="O152">
        <v>0</v>
      </c>
      <c r="P152">
        <v>91.25</v>
      </c>
      <c r="Q152">
        <v>0</v>
      </c>
      <c r="R152" s="2">
        <v>0</v>
      </c>
      <c r="S152">
        <v>1</v>
      </c>
      <c r="T152">
        <v>1</v>
      </c>
    </row>
    <row r="153" spans="1:20" x14ac:dyDescent="0.2">
      <c r="A153" t="s">
        <v>490</v>
      </c>
      <c r="B153" t="s">
        <v>158</v>
      </c>
      <c r="C153" t="s">
        <v>941</v>
      </c>
      <c r="D153" t="s">
        <v>942</v>
      </c>
      <c r="E153" t="s">
        <v>24</v>
      </c>
      <c r="F153" t="s">
        <v>25</v>
      </c>
      <c r="G153" t="s">
        <v>26</v>
      </c>
      <c r="H153" t="s">
        <v>748</v>
      </c>
      <c r="I153" t="s">
        <v>652</v>
      </c>
      <c r="J153" t="s">
        <v>29</v>
      </c>
      <c r="K153" t="s">
        <v>46</v>
      </c>
      <c r="L153" t="s">
        <v>38</v>
      </c>
      <c r="M153" s="1">
        <v>0</v>
      </c>
      <c r="N153">
        <v>0</v>
      </c>
      <c r="O153">
        <v>0</v>
      </c>
      <c r="P153">
        <v>91.25</v>
      </c>
      <c r="Q153">
        <v>0</v>
      </c>
      <c r="R153" s="2">
        <v>0</v>
      </c>
      <c r="S153">
        <v>1</v>
      </c>
      <c r="T153">
        <v>1</v>
      </c>
    </row>
    <row r="154" spans="1:20" x14ac:dyDescent="0.2">
      <c r="A154" t="s">
        <v>1093</v>
      </c>
      <c r="B154" t="s">
        <v>21</v>
      </c>
      <c r="C154" t="s">
        <v>1114</v>
      </c>
      <c r="D154" t="s">
        <v>1115</v>
      </c>
      <c r="E154" t="s">
        <v>24</v>
      </c>
      <c r="F154" t="s">
        <v>25</v>
      </c>
      <c r="G154" t="s">
        <v>26</v>
      </c>
      <c r="H154" t="s">
        <v>1071</v>
      </c>
      <c r="I154" t="s">
        <v>652</v>
      </c>
      <c r="J154" t="s">
        <v>29</v>
      </c>
      <c r="K154" t="s">
        <v>46</v>
      </c>
      <c r="L154" t="s">
        <v>556</v>
      </c>
      <c r="M154" s="1">
        <v>0</v>
      </c>
      <c r="N154">
        <v>0</v>
      </c>
      <c r="O154">
        <v>0</v>
      </c>
      <c r="P154">
        <v>91.25</v>
      </c>
      <c r="Q154">
        <v>1</v>
      </c>
      <c r="R154" s="2">
        <v>0</v>
      </c>
      <c r="S154">
        <v>0</v>
      </c>
      <c r="T154">
        <v>0</v>
      </c>
    </row>
    <row r="155" spans="1:20" x14ac:dyDescent="0.2">
      <c r="A155" t="s">
        <v>212</v>
      </c>
      <c r="B155" t="s">
        <v>158</v>
      </c>
      <c r="C155" t="s">
        <v>1282</v>
      </c>
      <c r="D155" t="s">
        <v>1283</v>
      </c>
      <c r="E155" t="s">
        <v>24</v>
      </c>
      <c r="F155" t="s">
        <v>58</v>
      </c>
      <c r="G155" t="s">
        <v>26</v>
      </c>
      <c r="H155" t="s">
        <v>1071</v>
      </c>
      <c r="I155" t="s">
        <v>652</v>
      </c>
      <c r="J155" t="s">
        <v>29</v>
      </c>
      <c r="K155" t="s">
        <v>46</v>
      </c>
      <c r="L155" t="s">
        <v>556</v>
      </c>
      <c r="M155" s="1">
        <v>0</v>
      </c>
      <c r="N155">
        <v>0</v>
      </c>
      <c r="O155">
        <v>0</v>
      </c>
      <c r="P155">
        <v>91.25</v>
      </c>
      <c r="Q155">
        <v>1</v>
      </c>
      <c r="R155" s="2">
        <v>0</v>
      </c>
      <c r="S155">
        <v>0</v>
      </c>
      <c r="T155">
        <v>0</v>
      </c>
    </row>
    <row r="156" spans="1:20" x14ac:dyDescent="0.2">
      <c r="A156" t="s">
        <v>1245</v>
      </c>
      <c r="B156" t="s">
        <v>158</v>
      </c>
      <c r="C156" t="s">
        <v>1318</v>
      </c>
      <c r="D156" t="s">
        <v>1319</v>
      </c>
      <c r="E156" t="s">
        <v>24</v>
      </c>
      <c r="F156" t="s">
        <v>25</v>
      </c>
      <c r="G156" t="s">
        <v>26</v>
      </c>
      <c r="H156" t="s">
        <v>1071</v>
      </c>
      <c r="I156" t="s">
        <v>652</v>
      </c>
      <c r="J156" t="s">
        <v>29</v>
      </c>
      <c r="K156" t="s">
        <v>46</v>
      </c>
      <c r="L156" t="s">
        <v>556</v>
      </c>
      <c r="M156" s="1">
        <v>0</v>
      </c>
      <c r="N156">
        <v>0</v>
      </c>
      <c r="O156">
        <v>0</v>
      </c>
      <c r="P156">
        <v>91.25</v>
      </c>
      <c r="Q156">
        <v>1</v>
      </c>
      <c r="R156" s="2">
        <v>0</v>
      </c>
      <c r="S156">
        <v>0</v>
      </c>
      <c r="T156">
        <v>0</v>
      </c>
    </row>
    <row r="157" spans="1:20" x14ac:dyDescent="0.2">
      <c r="A157" t="s">
        <v>516</v>
      </c>
      <c r="B157" t="s">
        <v>262</v>
      </c>
      <c r="C157" t="s">
        <v>1401</v>
      </c>
      <c r="D157" t="s">
        <v>1402</v>
      </c>
      <c r="E157" t="s">
        <v>24</v>
      </c>
      <c r="F157" t="s">
        <v>25</v>
      </c>
      <c r="G157" t="s">
        <v>26</v>
      </c>
      <c r="H157" t="s">
        <v>1071</v>
      </c>
      <c r="I157" t="s">
        <v>652</v>
      </c>
      <c r="J157" t="s">
        <v>29</v>
      </c>
      <c r="K157" t="s">
        <v>46</v>
      </c>
      <c r="L157" t="s">
        <v>556</v>
      </c>
      <c r="M157" s="1">
        <v>0</v>
      </c>
      <c r="N157">
        <v>0</v>
      </c>
      <c r="O157">
        <v>0</v>
      </c>
      <c r="P157">
        <v>91.25</v>
      </c>
      <c r="Q157">
        <v>1</v>
      </c>
      <c r="R157" s="2">
        <v>0</v>
      </c>
      <c r="S157">
        <v>0</v>
      </c>
      <c r="T157">
        <v>0</v>
      </c>
    </row>
    <row r="158" spans="1:20" x14ac:dyDescent="0.2">
      <c r="A158" t="s">
        <v>705</v>
      </c>
      <c r="B158" t="s">
        <v>262</v>
      </c>
      <c r="C158" t="s">
        <v>728</v>
      </c>
      <c r="D158" t="s">
        <v>729</v>
      </c>
      <c r="E158" t="s">
        <v>24</v>
      </c>
      <c r="F158" t="s">
        <v>58</v>
      </c>
      <c r="G158" t="s">
        <v>26</v>
      </c>
      <c r="H158" t="s">
        <v>550</v>
      </c>
      <c r="I158" t="s">
        <v>730</v>
      </c>
      <c r="J158" t="s">
        <v>29</v>
      </c>
      <c r="K158" t="s">
        <v>46</v>
      </c>
      <c r="L158" t="s">
        <v>31</v>
      </c>
      <c r="M158" s="1">
        <v>229904.65</v>
      </c>
      <c r="N158">
        <v>1</v>
      </c>
      <c r="O158">
        <v>1</v>
      </c>
      <c r="P158">
        <v>91.25</v>
      </c>
      <c r="Q158">
        <v>0</v>
      </c>
      <c r="R158" s="2">
        <v>1</v>
      </c>
      <c r="S158">
        <v>0</v>
      </c>
      <c r="T158">
        <v>0</v>
      </c>
    </row>
    <row r="159" spans="1:20" x14ac:dyDescent="0.2">
      <c r="A159" t="s">
        <v>945</v>
      </c>
      <c r="B159" t="s">
        <v>158</v>
      </c>
      <c r="C159" t="s">
        <v>946</v>
      </c>
      <c r="D159" t="s">
        <v>947</v>
      </c>
      <c r="E159" t="s">
        <v>24</v>
      </c>
      <c r="F159" t="s">
        <v>25</v>
      </c>
      <c r="G159" t="s">
        <v>26</v>
      </c>
      <c r="H159" t="s">
        <v>748</v>
      </c>
      <c r="I159" t="s">
        <v>730</v>
      </c>
      <c r="J159" t="s">
        <v>29</v>
      </c>
      <c r="K159" t="s">
        <v>46</v>
      </c>
      <c r="L159" t="s">
        <v>38</v>
      </c>
      <c r="M159" s="1">
        <v>0</v>
      </c>
      <c r="N159">
        <v>0</v>
      </c>
      <c r="O159">
        <v>0</v>
      </c>
      <c r="P159">
        <v>91.25</v>
      </c>
      <c r="Q159">
        <v>0</v>
      </c>
      <c r="R159" s="2">
        <v>0</v>
      </c>
      <c r="S159">
        <v>1</v>
      </c>
      <c r="T159">
        <v>1</v>
      </c>
    </row>
    <row r="160" spans="1:20" x14ac:dyDescent="0.2">
      <c r="A160" t="s">
        <v>490</v>
      </c>
      <c r="B160" t="s">
        <v>158</v>
      </c>
      <c r="C160" t="s">
        <v>1264</v>
      </c>
      <c r="D160" t="s">
        <v>1265</v>
      </c>
      <c r="E160" t="s">
        <v>24</v>
      </c>
      <c r="F160" t="s">
        <v>25</v>
      </c>
      <c r="G160" t="s">
        <v>26</v>
      </c>
      <c r="H160" t="s">
        <v>1071</v>
      </c>
      <c r="I160" t="s">
        <v>730</v>
      </c>
      <c r="J160" t="s">
        <v>29</v>
      </c>
      <c r="K160" t="s">
        <v>46</v>
      </c>
      <c r="L160" t="s">
        <v>31</v>
      </c>
      <c r="M160" s="1">
        <v>5747.12</v>
      </c>
      <c r="N160">
        <v>1</v>
      </c>
      <c r="O160">
        <v>1</v>
      </c>
      <c r="P160">
        <v>91.25</v>
      </c>
      <c r="Q160">
        <v>0</v>
      </c>
      <c r="R160" s="2">
        <v>1</v>
      </c>
      <c r="S160">
        <v>0</v>
      </c>
      <c r="T160">
        <v>0</v>
      </c>
    </row>
    <row r="161" spans="1:20" x14ac:dyDescent="0.2">
      <c r="A161" t="s">
        <v>179</v>
      </c>
      <c r="B161" t="s">
        <v>158</v>
      </c>
      <c r="C161" t="s">
        <v>1493</v>
      </c>
      <c r="D161" t="s">
        <v>1494</v>
      </c>
      <c r="E161" t="s">
        <v>24</v>
      </c>
      <c r="F161" t="s">
        <v>25</v>
      </c>
      <c r="G161" t="s">
        <v>26</v>
      </c>
      <c r="H161" t="s">
        <v>1410</v>
      </c>
      <c r="I161" t="s">
        <v>730</v>
      </c>
      <c r="J161" t="s">
        <v>29</v>
      </c>
      <c r="K161" t="s">
        <v>46</v>
      </c>
      <c r="L161" t="s">
        <v>31</v>
      </c>
      <c r="M161" s="1">
        <v>0</v>
      </c>
      <c r="N161">
        <v>1</v>
      </c>
      <c r="O161">
        <v>1</v>
      </c>
      <c r="P161">
        <v>91.25</v>
      </c>
      <c r="Q161">
        <v>0</v>
      </c>
      <c r="R161" s="2">
        <v>1</v>
      </c>
      <c r="S161">
        <v>0</v>
      </c>
      <c r="T161">
        <v>0</v>
      </c>
    </row>
    <row r="162" spans="1:20" x14ac:dyDescent="0.2">
      <c r="A162" t="s">
        <v>179</v>
      </c>
      <c r="B162" t="s">
        <v>158</v>
      </c>
      <c r="C162" t="s">
        <v>483</v>
      </c>
      <c r="D162" t="s">
        <v>484</v>
      </c>
      <c r="E162" t="s">
        <v>274</v>
      </c>
      <c r="F162" t="s">
        <v>25</v>
      </c>
      <c r="G162" t="s">
        <v>275</v>
      </c>
      <c r="H162" t="s">
        <v>319</v>
      </c>
      <c r="I162" t="s">
        <v>485</v>
      </c>
      <c r="J162" t="s">
        <v>29</v>
      </c>
      <c r="K162" t="s">
        <v>46</v>
      </c>
      <c r="L162" t="s">
        <v>38</v>
      </c>
      <c r="M162" s="1">
        <v>0</v>
      </c>
      <c r="N162">
        <v>0</v>
      </c>
      <c r="O162">
        <v>0</v>
      </c>
      <c r="P162">
        <v>91.25</v>
      </c>
      <c r="Q162">
        <v>0</v>
      </c>
      <c r="R162" s="2">
        <v>0</v>
      </c>
      <c r="S162">
        <v>1</v>
      </c>
      <c r="T162">
        <v>1</v>
      </c>
    </row>
    <row r="163" spans="1:20" x14ac:dyDescent="0.2">
      <c r="A163" t="s">
        <v>490</v>
      </c>
      <c r="B163" t="s">
        <v>158</v>
      </c>
      <c r="C163" t="s">
        <v>491</v>
      </c>
      <c r="D163" t="s">
        <v>492</v>
      </c>
      <c r="E163" t="s">
        <v>274</v>
      </c>
      <c r="F163" t="s">
        <v>25</v>
      </c>
      <c r="G163" t="s">
        <v>275</v>
      </c>
      <c r="H163" t="s">
        <v>319</v>
      </c>
      <c r="I163" t="s">
        <v>485</v>
      </c>
      <c r="J163" t="s">
        <v>29</v>
      </c>
      <c r="K163" t="s">
        <v>46</v>
      </c>
      <c r="L163" t="s">
        <v>31</v>
      </c>
      <c r="M163" s="1">
        <v>127910.46</v>
      </c>
      <c r="N163">
        <v>1</v>
      </c>
      <c r="O163">
        <v>1</v>
      </c>
      <c r="P163">
        <v>91.25</v>
      </c>
      <c r="Q163">
        <v>0</v>
      </c>
      <c r="R163" s="2">
        <v>1</v>
      </c>
      <c r="S163">
        <v>0</v>
      </c>
      <c r="T163">
        <v>0</v>
      </c>
    </row>
    <row r="164" spans="1:20" x14ac:dyDescent="0.2">
      <c r="A164" t="s">
        <v>20</v>
      </c>
      <c r="B164" t="s">
        <v>250</v>
      </c>
      <c r="C164" t="s">
        <v>692</v>
      </c>
      <c r="D164" t="s">
        <v>693</v>
      </c>
      <c r="E164" t="s">
        <v>274</v>
      </c>
      <c r="F164" t="s">
        <v>25</v>
      </c>
      <c r="G164" t="s">
        <v>275</v>
      </c>
      <c r="H164" t="s">
        <v>550</v>
      </c>
      <c r="I164" t="s">
        <v>485</v>
      </c>
      <c r="J164" t="s">
        <v>29</v>
      </c>
      <c r="K164" t="s">
        <v>46</v>
      </c>
      <c r="L164" t="s">
        <v>38</v>
      </c>
      <c r="M164" s="1">
        <v>0</v>
      </c>
      <c r="N164">
        <v>0</v>
      </c>
      <c r="O164">
        <v>0</v>
      </c>
      <c r="P164">
        <v>91.25</v>
      </c>
      <c r="Q164">
        <v>0</v>
      </c>
      <c r="R164" s="2">
        <v>0</v>
      </c>
      <c r="S164">
        <v>1</v>
      </c>
      <c r="T164">
        <v>1</v>
      </c>
    </row>
    <row r="165" spans="1:20" x14ac:dyDescent="0.2">
      <c r="A165" t="s">
        <v>39</v>
      </c>
      <c r="B165" t="s">
        <v>21</v>
      </c>
      <c r="C165" t="s">
        <v>843</v>
      </c>
      <c r="D165" t="s">
        <v>844</v>
      </c>
      <c r="E165" t="s">
        <v>274</v>
      </c>
      <c r="F165" t="s">
        <v>25</v>
      </c>
      <c r="G165" t="s">
        <v>275</v>
      </c>
      <c r="H165" t="s">
        <v>748</v>
      </c>
      <c r="I165" t="s">
        <v>485</v>
      </c>
      <c r="J165" t="s">
        <v>29</v>
      </c>
      <c r="K165" t="s">
        <v>46</v>
      </c>
      <c r="L165" t="s">
        <v>38</v>
      </c>
      <c r="M165" s="1">
        <v>0</v>
      </c>
      <c r="N165">
        <v>0</v>
      </c>
      <c r="O165">
        <v>0</v>
      </c>
      <c r="P165">
        <v>91.25</v>
      </c>
      <c r="Q165">
        <v>0</v>
      </c>
      <c r="R165" s="2">
        <v>0</v>
      </c>
      <c r="S165">
        <v>1</v>
      </c>
      <c r="T165">
        <v>1</v>
      </c>
    </row>
    <row r="166" spans="1:20" x14ac:dyDescent="0.2">
      <c r="A166" t="s">
        <v>875</v>
      </c>
      <c r="B166" t="s">
        <v>158</v>
      </c>
      <c r="C166" t="s">
        <v>926</v>
      </c>
      <c r="D166" t="s">
        <v>927</v>
      </c>
      <c r="E166" t="s">
        <v>274</v>
      </c>
      <c r="F166" t="s">
        <v>58</v>
      </c>
      <c r="G166" t="s">
        <v>275</v>
      </c>
      <c r="H166" t="s">
        <v>748</v>
      </c>
      <c r="I166" t="s">
        <v>485</v>
      </c>
      <c r="J166" t="s">
        <v>29</v>
      </c>
      <c r="K166" t="s">
        <v>46</v>
      </c>
      <c r="L166" t="s">
        <v>31</v>
      </c>
      <c r="M166" s="1">
        <v>0</v>
      </c>
      <c r="N166">
        <v>1</v>
      </c>
      <c r="O166">
        <v>1</v>
      </c>
      <c r="P166">
        <v>91.25</v>
      </c>
      <c r="Q166">
        <v>0</v>
      </c>
      <c r="R166" s="2">
        <v>1</v>
      </c>
      <c r="S166">
        <v>0</v>
      </c>
      <c r="T166">
        <v>0</v>
      </c>
    </row>
    <row r="167" spans="1:20" x14ac:dyDescent="0.2">
      <c r="A167" t="s">
        <v>157</v>
      </c>
      <c r="B167" t="s">
        <v>158</v>
      </c>
      <c r="C167" t="s">
        <v>928</v>
      </c>
      <c r="D167" t="s">
        <v>929</v>
      </c>
      <c r="E167" t="s">
        <v>274</v>
      </c>
      <c r="F167" t="s">
        <v>58</v>
      </c>
      <c r="G167" t="s">
        <v>275</v>
      </c>
      <c r="H167" t="s">
        <v>748</v>
      </c>
      <c r="I167" t="s">
        <v>485</v>
      </c>
      <c r="J167" t="s">
        <v>29</v>
      </c>
      <c r="K167" t="s">
        <v>46</v>
      </c>
      <c r="L167" t="s">
        <v>38</v>
      </c>
      <c r="M167" s="1">
        <v>0</v>
      </c>
      <c r="N167">
        <v>0</v>
      </c>
      <c r="O167">
        <v>0</v>
      </c>
      <c r="P167">
        <v>91.25</v>
      </c>
      <c r="Q167">
        <v>0</v>
      </c>
      <c r="R167" s="2">
        <v>0</v>
      </c>
      <c r="S167">
        <v>1</v>
      </c>
      <c r="T167">
        <v>1</v>
      </c>
    </row>
    <row r="168" spans="1:20" x14ac:dyDescent="0.2">
      <c r="A168" t="s">
        <v>917</v>
      </c>
      <c r="B168" t="s">
        <v>158</v>
      </c>
      <c r="C168" t="s">
        <v>943</v>
      </c>
      <c r="D168" t="s">
        <v>944</v>
      </c>
      <c r="E168" t="s">
        <v>274</v>
      </c>
      <c r="F168" t="s">
        <v>25</v>
      </c>
      <c r="G168" t="s">
        <v>275</v>
      </c>
      <c r="H168" t="s">
        <v>748</v>
      </c>
      <c r="I168" t="s">
        <v>485</v>
      </c>
      <c r="J168" t="s">
        <v>29</v>
      </c>
      <c r="K168" t="s">
        <v>46</v>
      </c>
      <c r="L168" t="s">
        <v>38</v>
      </c>
      <c r="M168" s="1">
        <v>0</v>
      </c>
      <c r="N168">
        <v>0</v>
      </c>
      <c r="O168">
        <v>0</v>
      </c>
      <c r="P168">
        <v>91.25</v>
      </c>
      <c r="Q168">
        <v>0</v>
      </c>
      <c r="R168" s="2">
        <v>0</v>
      </c>
      <c r="S168">
        <v>1</v>
      </c>
      <c r="T168">
        <v>1</v>
      </c>
    </row>
    <row r="169" spans="1:20" x14ac:dyDescent="0.2">
      <c r="A169" t="s">
        <v>434</v>
      </c>
      <c r="B169" t="s">
        <v>158</v>
      </c>
      <c r="C169" t="s">
        <v>1250</v>
      </c>
      <c r="D169" t="s">
        <v>1251</v>
      </c>
      <c r="E169" t="s">
        <v>274</v>
      </c>
      <c r="F169" t="s">
        <v>25</v>
      </c>
      <c r="G169" t="s">
        <v>275</v>
      </c>
      <c r="H169" t="s">
        <v>1071</v>
      </c>
      <c r="I169" t="s">
        <v>485</v>
      </c>
      <c r="J169" t="s">
        <v>29</v>
      </c>
      <c r="K169" t="s">
        <v>46</v>
      </c>
      <c r="L169" t="s">
        <v>38</v>
      </c>
      <c r="M169" s="1">
        <v>0</v>
      </c>
      <c r="N169">
        <v>0</v>
      </c>
      <c r="O169">
        <v>0</v>
      </c>
      <c r="P169">
        <v>91.25</v>
      </c>
      <c r="Q169">
        <v>0</v>
      </c>
      <c r="R169" s="2">
        <v>0</v>
      </c>
      <c r="S169">
        <v>1</v>
      </c>
      <c r="T169">
        <v>1</v>
      </c>
    </row>
    <row r="170" spans="1:20" x14ac:dyDescent="0.2">
      <c r="A170" t="s">
        <v>1024</v>
      </c>
      <c r="B170" t="s">
        <v>262</v>
      </c>
      <c r="C170" t="s">
        <v>1394</v>
      </c>
      <c r="D170" t="s">
        <v>1395</v>
      </c>
      <c r="E170" t="s">
        <v>274</v>
      </c>
      <c r="F170" t="s">
        <v>58</v>
      </c>
      <c r="G170" t="s">
        <v>275</v>
      </c>
      <c r="H170" t="s">
        <v>1071</v>
      </c>
      <c r="I170" t="s">
        <v>485</v>
      </c>
      <c r="J170" t="s">
        <v>29</v>
      </c>
      <c r="K170" t="s">
        <v>46</v>
      </c>
      <c r="L170" t="s">
        <v>38</v>
      </c>
      <c r="M170" s="1">
        <v>0</v>
      </c>
      <c r="N170">
        <v>0</v>
      </c>
      <c r="O170">
        <v>0</v>
      </c>
      <c r="P170">
        <v>91.25</v>
      </c>
      <c r="Q170">
        <v>0</v>
      </c>
      <c r="R170" s="2">
        <v>0</v>
      </c>
      <c r="S170">
        <v>1</v>
      </c>
      <c r="T170">
        <v>1</v>
      </c>
    </row>
    <row r="171" spans="1:20" x14ac:dyDescent="0.2">
      <c r="A171" t="s">
        <v>1561</v>
      </c>
      <c r="B171" t="s">
        <v>262</v>
      </c>
      <c r="C171" t="s">
        <v>1571</v>
      </c>
      <c r="D171" t="s">
        <v>1572</v>
      </c>
      <c r="E171" t="s">
        <v>274</v>
      </c>
      <c r="F171" t="s">
        <v>58</v>
      </c>
      <c r="G171" t="s">
        <v>275</v>
      </c>
      <c r="H171" t="s">
        <v>1410</v>
      </c>
      <c r="I171" t="s">
        <v>485</v>
      </c>
      <c r="J171" t="s">
        <v>29</v>
      </c>
      <c r="K171" t="s">
        <v>46</v>
      </c>
      <c r="L171" t="s">
        <v>556</v>
      </c>
      <c r="M171" s="1">
        <v>0</v>
      </c>
      <c r="N171">
        <v>0</v>
      </c>
      <c r="O171">
        <v>0</v>
      </c>
      <c r="P171">
        <v>91.25</v>
      </c>
      <c r="Q171">
        <v>1</v>
      </c>
      <c r="R171" s="2">
        <v>0</v>
      </c>
      <c r="S171">
        <v>0</v>
      </c>
      <c r="T171">
        <v>0</v>
      </c>
    </row>
    <row r="172" spans="1:20" x14ac:dyDescent="0.2">
      <c r="A172" t="s">
        <v>112</v>
      </c>
      <c r="B172" t="s">
        <v>21</v>
      </c>
      <c r="C172" t="s">
        <v>1103</v>
      </c>
      <c r="D172" t="s">
        <v>1104</v>
      </c>
      <c r="E172" t="s">
        <v>274</v>
      </c>
      <c r="F172" t="s">
        <v>58</v>
      </c>
      <c r="G172" t="s">
        <v>275</v>
      </c>
      <c r="H172" t="s">
        <v>1071</v>
      </c>
      <c r="I172" t="s">
        <v>1105</v>
      </c>
      <c r="J172" t="s">
        <v>29</v>
      </c>
      <c r="K172" t="s">
        <v>46</v>
      </c>
      <c r="L172" t="s">
        <v>38</v>
      </c>
      <c r="M172" s="1">
        <v>0</v>
      </c>
      <c r="N172">
        <v>0</v>
      </c>
      <c r="O172">
        <v>0</v>
      </c>
      <c r="P172">
        <v>91.25</v>
      </c>
      <c r="Q172">
        <v>0</v>
      </c>
      <c r="R172" s="2">
        <v>0</v>
      </c>
      <c r="S172">
        <v>1</v>
      </c>
      <c r="T172">
        <v>1</v>
      </c>
    </row>
    <row r="173" spans="1:20" x14ac:dyDescent="0.2">
      <c r="A173" t="s">
        <v>641</v>
      </c>
      <c r="B173" t="s">
        <v>158</v>
      </c>
      <c r="C173" t="s">
        <v>1538</v>
      </c>
      <c r="D173" t="s">
        <v>1539</v>
      </c>
      <c r="E173" t="s">
        <v>274</v>
      </c>
      <c r="F173" t="s">
        <v>25</v>
      </c>
      <c r="G173" t="s">
        <v>275</v>
      </c>
      <c r="H173" t="s">
        <v>1410</v>
      </c>
      <c r="I173" t="s">
        <v>1105</v>
      </c>
      <c r="J173" t="s">
        <v>29</v>
      </c>
      <c r="K173" t="s">
        <v>46</v>
      </c>
      <c r="L173" t="s">
        <v>556</v>
      </c>
      <c r="M173" s="1">
        <v>0</v>
      </c>
      <c r="N173">
        <v>0</v>
      </c>
      <c r="O173">
        <v>0</v>
      </c>
      <c r="P173">
        <v>91.25</v>
      </c>
      <c r="Q173">
        <v>1</v>
      </c>
      <c r="R173" s="2">
        <v>0</v>
      </c>
      <c r="S173">
        <v>0</v>
      </c>
      <c r="T173">
        <v>0</v>
      </c>
    </row>
    <row r="174" spans="1:20" x14ac:dyDescent="0.2">
      <c r="A174" t="s">
        <v>434</v>
      </c>
      <c r="B174" t="s">
        <v>158</v>
      </c>
      <c r="C174" t="s">
        <v>435</v>
      </c>
      <c r="D174" t="s">
        <v>436</v>
      </c>
      <c r="E174" t="s">
        <v>274</v>
      </c>
      <c r="F174" t="s">
        <v>58</v>
      </c>
      <c r="G174" t="s">
        <v>275</v>
      </c>
      <c r="H174" t="s">
        <v>319</v>
      </c>
      <c r="I174" t="s">
        <v>437</v>
      </c>
      <c r="J174" t="s">
        <v>29</v>
      </c>
      <c r="K174" t="s">
        <v>46</v>
      </c>
      <c r="L174" t="s">
        <v>31</v>
      </c>
      <c r="M174" s="1">
        <v>1614621.34</v>
      </c>
      <c r="N174">
        <v>1</v>
      </c>
      <c r="O174">
        <v>1</v>
      </c>
      <c r="P174">
        <v>91.25</v>
      </c>
      <c r="Q174">
        <v>0</v>
      </c>
      <c r="R174" s="2">
        <v>1</v>
      </c>
      <c r="S174">
        <v>0</v>
      </c>
      <c r="T174">
        <v>0</v>
      </c>
    </row>
    <row r="175" spans="1:20" x14ac:dyDescent="0.2">
      <c r="A175" t="s">
        <v>1396</v>
      </c>
      <c r="B175" t="s">
        <v>262</v>
      </c>
      <c r="C175" t="s">
        <v>1397</v>
      </c>
      <c r="D175" t="s">
        <v>1398</v>
      </c>
      <c r="E175" t="s">
        <v>274</v>
      </c>
      <c r="F175" t="s">
        <v>25</v>
      </c>
      <c r="G175" t="s">
        <v>275</v>
      </c>
      <c r="H175" t="s">
        <v>1071</v>
      </c>
      <c r="I175" t="s">
        <v>437</v>
      </c>
      <c r="J175" t="s">
        <v>29</v>
      </c>
      <c r="K175" t="s">
        <v>46</v>
      </c>
      <c r="L175" t="s">
        <v>556</v>
      </c>
      <c r="M175" s="1">
        <v>0</v>
      </c>
      <c r="N175">
        <v>0</v>
      </c>
      <c r="O175">
        <v>0</v>
      </c>
      <c r="P175">
        <v>91.25</v>
      </c>
      <c r="Q175">
        <v>1</v>
      </c>
      <c r="R175" s="2">
        <v>0</v>
      </c>
      <c r="S175">
        <v>0</v>
      </c>
      <c r="T175">
        <v>0</v>
      </c>
    </row>
    <row r="176" spans="1:20" x14ac:dyDescent="0.2">
      <c r="A176" t="s">
        <v>179</v>
      </c>
      <c r="B176" t="s">
        <v>158</v>
      </c>
      <c r="C176" t="s">
        <v>646</v>
      </c>
      <c r="D176" t="s">
        <v>647</v>
      </c>
      <c r="E176" t="s">
        <v>274</v>
      </c>
      <c r="F176" t="s">
        <v>25</v>
      </c>
      <c r="G176" t="s">
        <v>275</v>
      </c>
      <c r="H176" t="s">
        <v>550</v>
      </c>
      <c r="I176" t="s">
        <v>648</v>
      </c>
      <c r="J176" t="s">
        <v>29</v>
      </c>
      <c r="K176" t="s">
        <v>46</v>
      </c>
      <c r="L176" t="s">
        <v>31</v>
      </c>
      <c r="M176" s="1">
        <v>24227.81</v>
      </c>
      <c r="N176">
        <v>1</v>
      </c>
      <c r="O176">
        <v>1</v>
      </c>
      <c r="P176">
        <v>91.25</v>
      </c>
      <c r="Q176">
        <v>0</v>
      </c>
      <c r="R176" s="2">
        <v>1</v>
      </c>
      <c r="S176">
        <v>0</v>
      </c>
      <c r="T176">
        <v>0</v>
      </c>
    </row>
    <row r="177" spans="1:20" x14ac:dyDescent="0.2">
      <c r="A177" t="s">
        <v>91</v>
      </c>
      <c r="B177" t="s">
        <v>21</v>
      </c>
      <c r="C177" t="s">
        <v>592</v>
      </c>
      <c r="D177" t="s">
        <v>593</v>
      </c>
      <c r="E177" t="s">
        <v>274</v>
      </c>
      <c r="F177" t="s">
        <v>58</v>
      </c>
      <c r="G177" t="s">
        <v>275</v>
      </c>
      <c r="H177" t="s">
        <v>550</v>
      </c>
      <c r="I177" t="s">
        <v>594</v>
      </c>
      <c r="J177" t="s">
        <v>29</v>
      </c>
      <c r="K177" t="s">
        <v>46</v>
      </c>
      <c r="L177" t="s">
        <v>38</v>
      </c>
      <c r="M177" s="1">
        <v>0</v>
      </c>
      <c r="N177">
        <v>0</v>
      </c>
      <c r="O177">
        <v>0</v>
      </c>
      <c r="P177">
        <v>91.25</v>
      </c>
      <c r="Q177">
        <v>0</v>
      </c>
      <c r="R177" s="2">
        <v>0</v>
      </c>
      <c r="S177">
        <v>1</v>
      </c>
      <c r="T177">
        <v>1</v>
      </c>
    </row>
    <row r="178" spans="1:20" x14ac:dyDescent="0.2">
      <c r="A178" t="s">
        <v>852</v>
      </c>
      <c r="B178" t="s">
        <v>158</v>
      </c>
      <c r="C178" t="s">
        <v>853</v>
      </c>
      <c r="D178" t="s">
        <v>854</v>
      </c>
      <c r="E178" t="s">
        <v>274</v>
      </c>
      <c r="F178" t="s">
        <v>25</v>
      </c>
      <c r="G178" t="s">
        <v>275</v>
      </c>
      <c r="H178" t="s">
        <v>748</v>
      </c>
      <c r="I178" t="s">
        <v>594</v>
      </c>
      <c r="J178" t="s">
        <v>29</v>
      </c>
      <c r="K178" t="s">
        <v>46</v>
      </c>
      <c r="L178" t="s">
        <v>31</v>
      </c>
      <c r="M178" s="1">
        <v>49998.37</v>
      </c>
      <c r="N178">
        <v>1</v>
      </c>
      <c r="O178">
        <v>1</v>
      </c>
      <c r="P178">
        <v>91.25</v>
      </c>
      <c r="Q178">
        <v>0</v>
      </c>
      <c r="R178" s="2">
        <v>1</v>
      </c>
      <c r="S178">
        <v>0</v>
      </c>
      <c r="T178">
        <v>0</v>
      </c>
    </row>
    <row r="179" spans="1:20" x14ac:dyDescent="0.2">
      <c r="A179" t="s">
        <v>898</v>
      </c>
      <c r="B179" t="s">
        <v>158</v>
      </c>
      <c r="C179" t="s">
        <v>899</v>
      </c>
      <c r="D179" t="s">
        <v>900</v>
      </c>
      <c r="E179" t="s">
        <v>274</v>
      </c>
      <c r="F179" t="s">
        <v>25</v>
      </c>
      <c r="G179" t="s">
        <v>275</v>
      </c>
      <c r="H179" t="s">
        <v>748</v>
      </c>
      <c r="I179" t="s">
        <v>594</v>
      </c>
      <c r="J179" t="s">
        <v>29</v>
      </c>
      <c r="K179" t="s">
        <v>46</v>
      </c>
      <c r="L179" t="s">
        <v>38</v>
      </c>
      <c r="M179" s="1">
        <v>0</v>
      </c>
      <c r="N179">
        <v>0</v>
      </c>
      <c r="O179">
        <v>0</v>
      </c>
      <c r="P179">
        <v>91.25</v>
      </c>
      <c r="Q179">
        <v>0</v>
      </c>
      <c r="R179" s="2">
        <v>0</v>
      </c>
      <c r="S179">
        <v>1</v>
      </c>
      <c r="T179">
        <v>1</v>
      </c>
    </row>
    <row r="180" spans="1:20" x14ac:dyDescent="0.2">
      <c r="A180" t="s">
        <v>1024</v>
      </c>
      <c r="B180" t="s">
        <v>262</v>
      </c>
      <c r="C180" t="s">
        <v>1025</v>
      </c>
      <c r="D180" t="s">
        <v>1026</v>
      </c>
      <c r="E180" t="s">
        <v>274</v>
      </c>
      <c r="F180" t="s">
        <v>58</v>
      </c>
      <c r="G180" t="s">
        <v>275</v>
      </c>
      <c r="H180" t="s">
        <v>748</v>
      </c>
      <c r="I180" t="s">
        <v>594</v>
      </c>
      <c r="J180" t="s">
        <v>29</v>
      </c>
      <c r="K180" t="s">
        <v>46</v>
      </c>
      <c r="L180" t="s">
        <v>31</v>
      </c>
      <c r="M180" s="1">
        <v>0</v>
      </c>
      <c r="N180">
        <v>1</v>
      </c>
      <c r="O180">
        <v>1</v>
      </c>
      <c r="P180">
        <v>91.25</v>
      </c>
      <c r="Q180">
        <v>0</v>
      </c>
      <c r="R180" s="2">
        <v>1</v>
      </c>
      <c r="S180">
        <v>0</v>
      </c>
      <c r="T180">
        <v>0</v>
      </c>
    </row>
    <row r="181" spans="1:20" x14ac:dyDescent="0.2">
      <c r="A181" t="s">
        <v>157</v>
      </c>
      <c r="B181" t="s">
        <v>158</v>
      </c>
      <c r="C181" t="s">
        <v>1231</v>
      </c>
      <c r="D181" t="s">
        <v>1232</v>
      </c>
      <c r="E181" t="s">
        <v>274</v>
      </c>
      <c r="F181" t="s">
        <v>58</v>
      </c>
      <c r="G181" t="s">
        <v>275</v>
      </c>
      <c r="H181" t="s">
        <v>1071</v>
      </c>
      <c r="I181" t="s">
        <v>594</v>
      </c>
      <c r="J181" t="s">
        <v>29</v>
      </c>
      <c r="K181" t="s">
        <v>46</v>
      </c>
      <c r="L181" t="s">
        <v>38</v>
      </c>
      <c r="M181" s="1">
        <v>0</v>
      </c>
      <c r="N181">
        <v>0</v>
      </c>
      <c r="O181">
        <v>0</v>
      </c>
      <c r="P181">
        <v>91.25</v>
      </c>
      <c r="Q181">
        <v>0</v>
      </c>
      <c r="R181" s="2">
        <v>0</v>
      </c>
      <c r="S181">
        <v>1</v>
      </c>
      <c r="T181">
        <v>1</v>
      </c>
    </row>
    <row r="182" spans="1:20" x14ac:dyDescent="0.2">
      <c r="A182" t="s">
        <v>261</v>
      </c>
      <c r="B182" t="s">
        <v>262</v>
      </c>
      <c r="C182" t="s">
        <v>272</v>
      </c>
      <c r="D182" t="s">
        <v>273</v>
      </c>
      <c r="E182" t="s">
        <v>274</v>
      </c>
      <c r="F182" t="s">
        <v>25</v>
      </c>
      <c r="G182" t="s">
        <v>275</v>
      </c>
      <c r="H182" t="s">
        <v>27</v>
      </c>
      <c r="I182" t="s">
        <v>276</v>
      </c>
      <c r="J182" t="s">
        <v>29</v>
      </c>
      <c r="K182" t="s">
        <v>46</v>
      </c>
      <c r="L182" t="s">
        <v>38</v>
      </c>
      <c r="M182" s="1">
        <v>0</v>
      </c>
      <c r="N182">
        <v>0</v>
      </c>
      <c r="O182">
        <v>0</v>
      </c>
      <c r="P182">
        <v>91.25</v>
      </c>
      <c r="Q182">
        <v>0</v>
      </c>
      <c r="R182" s="2">
        <v>0</v>
      </c>
      <c r="S182">
        <v>1</v>
      </c>
      <c r="T182">
        <v>1</v>
      </c>
    </row>
    <row r="183" spans="1:20" x14ac:dyDescent="0.2">
      <c r="A183" t="s">
        <v>277</v>
      </c>
      <c r="B183" t="s">
        <v>262</v>
      </c>
      <c r="C183" t="s">
        <v>278</v>
      </c>
      <c r="D183" t="s">
        <v>279</v>
      </c>
      <c r="E183" t="s">
        <v>274</v>
      </c>
      <c r="F183" t="s">
        <v>58</v>
      </c>
      <c r="G183" t="s">
        <v>275</v>
      </c>
      <c r="H183" t="s">
        <v>27</v>
      </c>
      <c r="I183" t="s">
        <v>276</v>
      </c>
      <c r="J183" t="s">
        <v>29</v>
      </c>
      <c r="K183" t="s">
        <v>46</v>
      </c>
      <c r="L183" t="s">
        <v>38</v>
      </c>
      <c r="M183" s="1">
        <v>0</v>
      </c>
      <c r="N183">
        <v>0</v>
      </c>
      <c r="O183">
        <v>0</v>
      </c>
      <c r="P183">
        <v>91.25</v>
      </c>
      <c r="Q183">
        <v>0</v>
      </c>
      <c r="R183" s="2">
        <v>0</v>
      </c>
      <c r="S183">
        <v>1</v>
      </c>
      <c r="T183">
        <v>1</v>
      </c>
    </row>
    <row r="184" spans="1:20" x14ac:dyDescent="0.2">
      <c r="A184" t="s">
        <v>1521</v>
      </c>
      <c r="B184" t="s">
        <v>158</v>
      </c>
      <c r="C184" t="s">
        <v>1522</v>
      </c>
      <c r="D184" t="s">
        <v>1523</v>
      </c>
      <c r="E184" t="s">
        <v>1524</v>
      </c>
      <c r="F184" t="s">
        <v>25</v>
      </c>
      <c r="G184" t="s">
        <v>1525</v>
      </c>
      <c r="H184" t="s">
        <v>1410</v>
      </c>
      <c r="I184" t="s">
        <v>28</v>
      </c>
      <c r="J184" t="s">
        <v>29</v>
      </c>
      <c r="K184" t="s">
        <v>46</v>
      </c>
      <c r="L184" t="s">
        <v>556</v>
      </c>
      <c r="M184" s="1">
        <v>0</v>
      </c>
      <c r="N184">
        <v>0</v>
      </c>
      <c r="O184">
        <v>0</v>
      </c>
      <c r="P184">
        <v>91.25</v>
      </c>
      <c r="Q184">
        <v>1</v>
      </c>
      <c r="R184" s="2">
        <v>0</v>
      </c>
      <c r="S184">
        <v>0</v>
      </c>
      <c r="T184">
        <v>0</v>
      </c>
    </row>
    <row r="185" spans="1:20" x14ac:dyDescent="0.2">
      <c r="A185" t="s">
        <v>194</v>
      </c>
      <c r="B185" t="s">
        <v>158</v>
      </c>
      <c r="C185" t="s">
        <v>199</v>
      </c>
      <c r="D185" t="s">
        <v>200</v>
      </c>
      <c r="E185" t="s">
        <v>201</v>
      </c>
      <c r="F185" t="s">
        <v>25</v>
      </c>
      <c r="G185" t="s">
        <v>200</v>
      </c>
      <c r="H185" t="s">
        <v>27</v>
      </c>
      <c r="I185" t="s">
        <v>28</v>
      </c>
      <c r="J185" t="s">
        <v>29</v>
      </c>
      <c r="K185" t="s">
        <v>46</v>
      </c>
      <c r="L185" t="s">
        <v>31</v>
      </c>
      <c r="M185" s="1">
        <v>20045.150000000001</v>
      </c>
      <c r="N185">
        <v>1</v>
      </c>
      <c r="O185">
        <v>1</v>
      </c>
      <c r="P185">
        <v>91.25</v>
      </c>
      <c r="Q185">
        <v>0</v>
      </c>
      <c r="R185" s="2">
        <v>1</v>
      </c>
      <c r="S185">
        <v>0</v>
      </c>
      <c r="T185">
        <v>0</v>
      </c>
    </row>
    <row r="186" spans="1:20" x14ac:dyDescent="0.2">
      <c r="A186" t="s">
        <v>307</v>
      </c>
      <c r="B186" t="s">
        <v>262</v>
      </c>
      <c r="C186" t="s">
        <v>308</v>
      </c>
      <c r="D186" t="s">
        <v>309</v>
      </c>
      <c r="E186" t="s">
        <v>201</v>
      </c>
      <c r="F186" t="s">
        <v>58</v>
      </c>
      <c r="G186" t="s">
        <v>200</v>
      </c>
      <c r="H186" t="s">
        <v>27</v>
      </c>
      <c r="I186" t="s">
        <v>28</v>
      </c>
      <c r="J186" t="s">
        <v>29</v>
      </c>
      <c r="K186" t="s">
        <v>46</v>
      </c>
      <c r="L186" t="s">
        <v>31</v>
      </c>
      <c r="M186" s="1">
        <v>23575.65</v>
      </c>
      <c r="N186">
        <v>1</v>
      </c>
      <c r="O186">
        <v>1</v>
      </c>
      <c r="P186">
        <v>91.25</v>
      </c>
      <c r="Q186">
        <v>0</v>
      </c>
      <c r="R186" s="2">
        <v>1</v>
      </c>
      <c r="S186">
        <v>0</v>
      </c>
      <c r="T186">
        <v>0</v>
      </c>
    </row>
    <row r="187" spans="1:20" x14ac:dyDescent="0.2">
      <c r="A187" t="s">
        <v>265</v>
      </c>
      <c r="B187" t="s">
        <v>262</v>
      </c>
      <c r="C187" t="s">
        <v>310</v>
      </c>
      <c r="D187" t="s">
        <v>311</v>
      </c>
      <c r="E187" t="s">
        <v>201</v>
      </c>
      <c r="F187" t="s">
        <v>25</v>
      </c>
      <c r="G187" t="s">
        <v>200</v>
      </c>
      <c r="H187" t="s">
        <v>27</v>
      </c>
      <c r="I187" t="s">
        <v>28</v>
      </c>
      <c r="J187" t="s">
        <v>29</v>
      </c>
      <c r="K187" t="s">
        <v>46</v>
      </c>
      <c r="L187" t="s">
        <v>31</v>
      </c>
      <c r="M187" s="1">
        <v>120027.54</v>
      </c>
      <c r="N187">
        <v>1</v>
      </c>
      <c r="O187">
        <v>1</v>
      </c>
      <c r="P187">
        <v>91.25</v>
      </c>
      <c r="Q187">
        <v>0</v>
      </c>
      <c r="R187" s="2">
        <v>1</v>
      </c>
      <c r="S187">
        <v>0</v>
      </c>
      <c r="T187">
        <v>0</v>
      </c>
    </row>
    <row r="188" spans="1:20" x14ac:dyDescent="0.2">
      <c r="A188" t="s">
        <v>538</v>
      </c>
      <c r="B188" t="s">
        <v>262</v>
      </c>
      <c r="C188" t="s">
        <v>539</v>
      </c>
      <c r="D188" t="s">
        <v>540</v>
      </c>
      <c r="E188" t="s">
        <v>201</v>
      </c>
      <c r="F188" t="s">
        <v>25</v>
      </c>
      <c r="G188" t="s">
        <v>200</v>
      </c>
      <c r="H188" t="s">
        <v>319</v>
      </c>
      <c r="I188" t="s">
        <v>28</v>
      </c>
      <c r="J188" t="s">
        <v>29</v>
      </c>
      <c r="K188" t="s">
        <v>46</v>
      </c>
      <c r="L188" t="s">
        <v>31</v>
      </c>
      <c r="M188" s="1">
        <v>99978.93</v>
      </c>
      <c r="N188">
        <v>1</v>
      </c>
      <c r="O188">
        <v>1</v>
      </c>
      <c r="P188">
        <v>91.25</v>
      </c>
      <c r="Q188">
        <v>0</v>
      </c>
      <c r="R188" s="2">
        <v>1</v>
      </c>
      <c r="S188">
        <v>0</v>
      </c>
      <c r="T188">
        <v>0</v>
      </c>
    </row>
    <row r="189" spans="1:20" x14ac:dyDescent="0.2">
      <c r="A189" t="s">
        <v>307</v>
      </c>
      <c r="B189" t="s">
        <v>262</v>
      </c>
      <c r="C189" t="s">
        <v>541</v>
      </c>
      <c r="D189" t="s">
        <v>542</v>
      </c>
      <c r="E189" t="s">
        <v>201</v>
      </c>
      <c r="F189" t="s">
        <v>58</v>
      </c>
      <c r="G189" t="s">
        <v>200</v>
      </c>
      <c r="H189" t="s">
        <v>319</v>
      </c>
      <c r="I189" t="s">
        <v>28</v>
      </c>
      <c r="J189" t="s">
        <v>29</v>
      </c>
      <c r="K189" t="s">
        <v>46</v>
      </c>
      <c r="L189" t="s">
        <v>31</v>
      </c>
      <c r="M189" s="1">
        <v>23576.15</v>
      </c>
      <c r="N189">
        <v>1</v>
      </c>
      <c r="O189">
        <v>1</v>
      </c>
      <c r="P189">
        <v>91.25</v>
      </c>
      <c r="Q189">
        <v>0</v>
      </c>
      <c r="R189" s="2">
        <v>1</v>
      </c>
      <c r="S189">
        <v>0</v>
      </c>
      <c r="T189">
        <v>0</v>
      </c>
    </row>
    <row r="190" spans="1:20" x14ac:dyDescent="0.2">
      <c r="A190" t="s">
        <v>126</v>
      </c>
      <c r="B190" t="s">
        <v>21</v>
      </c>
      <c r="C190" t="s">
        <v>617</v>
      </c>
      <c r="D190" t="s">
        <v>618</v>
      </c>
      <c r="E190" t="s">
        <v>201</v>
      </c>
      <c r="F190" t="s">
        <v>58</v>
      </c>
      <c r="G190" t="s">
        <v>200</v>
      </c>
      <c r="H190" t="s">
        <v>550</v>
      </c>
      <c r="I190" t="s">
        <v>28</v>
      </c>
      <c r="J190" t="s">
        <v>29</v>
      </c>
      <c r="K190" t="s">
        <v>46</v>
      </c>
      <c r="L190" t="s">
        <v>31</v>
      </c>
      <c r="M190" s="1">
        <v>5827.31</v>
      </c>
      <c r="N190">
        <v>1</v>
      </c>
      <c r="O190">
        <v>1</v>
      </c>
      <c r="P190">
        <v>91.25</v>
      </c>
      <c r="Q190">
        <v>0</v>
      </c>
      <c r="R190" s="2">
        <v>1</v>
      </c>
      <c r="S190">
        <v>0</v>
      </c>
      <c r="T190">
        <v>0</v>
      </c>
    </row>
    <row r="191" spans="1:20" x14ac:dyDescent="0.2">
      <c r="A191" t="s">
        <v>741</v>
      </c>
      <c r="B191" t="s">
        <v>262</v>
      </c>
      <c r="C191" t="s">
        <v>742</v>
      </c>
      <c r="D191" t="s">
        <v>743</v>
      </c>
      <c r="E191" t="s">
        <v>201</v>
      </c>
      <c r="F191" t="s">
        <v>25</v>
      </c>
      <c r="G191" t="s">
        <v>200</v>
      </c>
      <c r="H191" t="s">
        <v>550</v>
      </c>
      <c r="I191" t="s">
        <v>28</v>
      </c>
      <c r="J191" t="s">
        <v>29</v>
      </c>
      <c r="K191" t="s">
        <v>30</v>
      </c>
      <c r="L191" t="s">
        <v>31</v>
      </c>
      <c r="M191" s="1">
        <v>72000</v>
      </c>
      <c r="N191">
        <v>0</v>
      </c>
      <c r="O191">
        <v>1</v>
      </c>
      <c r="P191">
        <v>91.25</v>
      </c>
      <c r="Q191">
        <v>0</v>
      </c>
      <c r="R191" s="2">
        <v>1</v>
      </c>
      <c r="S191">
        <v>1</v>
      </c>
      <c r="T191">
        <v>0</v>
      </c>
    </row>
    <row r="192" spans="1:20" x14ac:dyDescent="0.2">
      <c r="A192" t="s">
        <v>307</v>
      </c>
      <c r="B192" t="s">
        <v>262</v>
      </c>
      <c r="C192" t="s">
        <v>1029</v>
      </c>
      <c r="D192" t="s">
        <v>1030</v>
      </c>
      <c r="E192" t="s">
        <v>201</v>
      </c>
      <c r="F192" t="s">
        <v>25</v>
      </c>
      <c r="G192" t="s">
        <v>200</v>
      </c>
      <c r="H192" t="s">
        <v>748</v>
      </c>
      <c r="I192" t="s">
        <v>28</v>
      </c>
      <c r="J192" t="s">
        <v>29</v>
      </c>
      <c r="K192" t="s">
        <v>46</v>
      </c>
      <c r="L192" t="s">
        <v>31</v>
      </c>
      <c r="M192" s="1">
        <v>34223.300000000003</v>
      </c>
      <c r="N192">
        <v>1</v>
      </c>
      <c r="O192">
        <v>1</v>
      </c>
      <c r="P192">
        <v>91.25</v>
      </c>
      <c r="Q192">
        <v>0</v>
      </c>
      <c r="R192" s="2">
        <v>1</v>
      </c>
      <c r="S192">
        <v>0</v>
      </c>
      <c r="T192">
        <v>0</v>
      </c>
    </row>
    <row r="193" spans="1:20" x14ac:dyDescent="0.2">
      <c r="A193" t="s">
        <v>1381</v>
      </c>
      <c r="B193" t="s">
        <v>262</v>
      </c>
      <c r="C193" t="s">
        <v>1382</v>
      </c>
      <c r="D193" t="s">
        <v>1383</v>
      </c>
      <c r="E193" t="s">
        <v>201</v>
      </c>
      <c r="F193" t="s">
        <v>25</v>
      </c>
      <c r="G193" t="s">
        <v>200</v>
      </c>
      <c r="H193" t="s">
        <v>1071</v>
      </c>
      <c r="I193" t="s">
        <v>28</v>
      </c>
      <c r="J193" t="s">
        <v>29</v>
      </c>
      <c r="K193" t="s">
        <v>46</v>
      </c>
      <c r="L193" t="s">
        <v>31</v>
      </c>
      <c r="M193" s="1">
        <v>107080.43</v>
      </c>
      <c r="N193">
        <v>1</v>
      </c>
      <c r="O193">
        <v>1</v>
      </c>
      <c r="P193">
        <v>91.25</v>
      </c>
      <c r="Q193">
        <v>0</v>
      </c>
      <c r="R193" s="2">
        <v>1</v>
      </c>
      <c r="S193">
        <v>0</v>
      </c>
      <c r="T193">
        <v>0</v>
      </c>
    </row>
    <row r="194" spans="1:20" x14ac:dyDescent="0.2">
      <c r="A194" t="s">
        <v>443</v>
      </c>
      <c r="B194" t="s">
        <v>158</v>
      </c>
      <c r="C194" t="s">
        <v>1266</v>
      </c>
      <c r="D194" t="s">
        <v>1267</v>
      </c>
      <c r="E194" t="s">
        <v>42</v>
      </c>
      <c r="F194" t="s">
        <v>25</v>
      </c>
      <c r="G194" t="s">
        <v>43</v>
      </c>
      <c r="H194" t="s">
        <v>1071</v>
      </c>
      <c r="I194" t="s">
        <v>1268</v>
      </c>
      <c r="J194" t="s">
        <v>29</v>
      </c>
      <c r="K194" t="s">
        <v>46</v>
      </c>
      <c r="L194" t="s">
        <v>556</v>
      </c>
      <c r="M194" s="1">
        <v>0</v>
      </c>
      <c r="N194">
        <v>0</v>
      </c>
      <c r="O194">
        <v>0</v>
      </c>
      <c r="P194">
        <v>91.25</v>
      </c>
      <c r="Q194">
        <v>1</v>
      </c>
      <c r="R194" s="2">
        <v>0</v>
      </c>
      <c r="S194">
        <v>0</v>
      </c>
      <c r="T194">
        <v>0</v>
      </c>
    </row>
    <row r="195" spans="1:20" x14ac:dyDescent="0.2">
      <c r="A195" t="s">
        <v>268</v>
      </c>
      <c r="B195" t="s">
        <v>262</v>
      </c>
      <c r="C195" t="s">
        <v>269</v>
      </c>
      <c r="D195" t="s">
        <v>270</v>
      </c>
      <c r="E195" t="s">
        <v>42</v>
      </c>
      <c r="F195" t="s">
        <v>25</v>
      </c>
      <c r="G195" t="s">
        <v>43</v>
      </c>
      <c r="H195" t="s">
        <v>27</v>
      </c>
      <c r="I195" t="s">
        <v>271</v>
      </c>
      <c r="J195" t="s">
        <v>45</v>
      </c>
      <c r="K195" t="s">
        <v>46</v>
      </c>
      <c r="L195" t="s">
        <v>38</v>
      </c>
      <c r="M195" s="1">
        <v>0</v>
      </c>
      <c r="N195">
        <v>0</v>
      </c>
      <c r="O195">
        <v>0</v>
      </c>
      <c r="P195">
        <v>91.25</v>
      </c>
      <c r="Q195">
        <v>0</v>
      </c>
      <c r="R195" s="2">
        <v>0</v>
      </c>
      <c r="S195">
        <v>1</v>
      </c>
      <c r="T195">
        <v>1</v>
      </c>
    </row>
    <row r="196" spans="1:20" x14ac:dyDescent="0.2">
      <c r="A196" t="s">
        <v>47</v>
      </c>
      <c r="B196" t="s">
        <v>21</v>
      </c>
      <c r="C196" t="s">
        <v>48</v>
      </c>
      <c r="D196" t="s">
        <v>49</v>
      </c>
      <c r="E196" t="s">
        <v>42</v>
      </c>
      <c r="F196" t="s">
        <v>25</v>
      </c>
      <c r="G196" t="s">
        <v>43</v>
      </c>
      <c r="H196" t="s">
        <v>27</v>
      </c>
      <c r="I196" t="s">
        <v>50</v>
      </c>
      <c r="J196" t="s">
        <v>45</v>
      </c>
      <c r="K196" t="s">
        <v>46</v>
      </c>
      <c r="L196" t="s">
        <v>38</v>
      </c>
      <c r="M196" s="1">
        <v>0</v>
      </c>
      <c r="N196">
        <v>0</v>
      </c>
      <c r="O196">
        <v>0</v>
      </c>
      <c r="P196">
        <v>91.25</v>
      </c>
      <c r="Q196">
        <v>0</v>
      </c>
      <c r="R196" s="2">
        <v>0</v>
      </c>
      <c r="S196">
        <v>1</v>
      </c>
      <c r="T196">
        <v>1</v>
      </c>
    </row>
    <row r="197" spans="1:20" x14ac:dyDescent="0.2">
      <c r="A197" t="s">
        <v>179</v>
      </c>
      <c r="B197" t="s">
        <v>158</v>
      </c>
      <c r="C197" t="s">
        <v>180</v>
      </c>
      <c r="D197" t="s">
        <v>181</v>
      </c>
      <c r="E197" t="s">
        <v>42</v>
      </c>
      <c r="F197" t="s">
        <v>25</v>
      </c>
      <c r="G197" t="s">
        <v>43</v>
      </c>
      <c r="H197" t="s">
        <v>27</v>
      </c>
      <c r="I197" t="s">
        <v>182</v>
      </c>
      <c r="J197" t="s">
        <v>29</v>
      </c>
      <c r="K197" t="s">
        <v>46</v>
      </c>
      <c r="L197" t="s">
        <v>38</v>
      </c>
      <c r="M197" s="1">
        <v>0</v>
      </c>
      <c r="N197">
        <v>0</v>
      </c>
      <c r="O197">
        <v>0</v>
      </c>
      <c r="P197">
        <v>91.25</v>
      </c>
      <c r="Q197">
        <v>0</v>
      </c>
      <c r="R197" s="2">
        <v>0</v>
      </c>
      <c r="S197">
        <v>1</v>
      </c>
      <c r="T197">
        <v>1</v>
      </c>
    </row>
    <row r="198" spans="1:20" x14ac:dyDescent="0.2">
      <c r="A198" t="s">
        <v>194</v>
      </c>
      <c r="B198" t="s">
        <v>158</v>
      </c>
      <c r="C198" t="s">
        <v>195</v>
      </c>
      <c r="D198" t="s">
        <v>196</v>
      </c>
      <c r="E198" t="s">
        <v>42</v>
      </c>
      <c r="F198" t="s">
        <v>25</v>
      </c>
      <c r="G198" t="s">
        <v>43</v>
      </c>
      <c r="H198" t="s">
        <v>27</v>
      </c>
      <c r="I198" t="s">
        <v>182</v>
      </c>
      <c r="J198" t="s">
        <v>29</v>
      </c>
      <c r="K198" t="s">
        <v>46</v>
      </c>
      <c r="L198" t="s">
        <v>31</v>
      </c>
      <c r="M198" s="1">
        <v>0</v>
      </c>
      <c r="N198">
        <v>1</v>
      </c>
      <c r="O198">
        <v>1</v>
      </c>
      <c r="P198">
        <v>91.25</v>
      </c>
      <c r="Q198">
        <v>0</v>
      </c>
      <c r="R198" s="2">
        <v>1</v>
      </c>
      <c r="S198">
        <v>0</v>
      </c>
      <c r="T198">
        <v>0</v>
      </c>
    </row>
    <row r="199" spans="1:20" x14ac:dyDescent="0.2">
      <c r="A199" t="s">
        <v>194</v>
      </c>
      <c r="B199" t="s">
        <v>158</v>
      </c>
      <c r="C199" t="s">
        <v>197</v>
      </c>
      <c r="D199" t="s">
        <v>198</v>
      </c>
      <c r="E199" t="s">
        <v>42</v>
      </c>
      <c r="F199" t="s">
        <v>25</v>
      </c>
      <c r="G199" t="s">
        <v>43</v>
      </c>
      <c r="H199" t="s">
        <v>27</v>
      </c>
      <c r="I199" t="s">
        <v>182</v>
      </c>
      <c r="J199" t="s">
        <v>29</v>
      </c>
      <c r="K199" t="s">
        <v>46</v>
      </c>
      <c r="L199" t="s">
        <v>38</v>
      </c>
      <c r="M199" s="1">
        <v>0</v>
      </c>
      <c r="N199">
        <v>0</v>
      </c>
      <c r="O199">
        <v>0</v>
      </c>
      <c r="P199">
        <v>91.25</v>
      </c>
      <c r="Q199">
        <v>0</v>
      </c>
      <c r="R199" s="2">
        <v>0</v>
      </c>
      <c r="S199">
        <v>1</v>
      </c>
      <c r="T199">
        <v>1</v>
      </c>
    </row>
    <row r="200" spans="1:20" x14ac:dyDescent="0.2">
      <c r="A200" t="s">
        <v>219</v>
      </c>
      <c r="B200" t="s">
        <v>158</v>
      </c>
      <c r="C200" t="s">
        <v>220</v>
      </c>
      <c r="D200" t="s">
        <v>221</v>
      </c>
      <c r="E200" t="s">
        <v>42</v>
      </c>
      <c r="F200" t="s">
        <v>25</v>
      </c>
      <c r="G200" t="s">
        <v>43</v>
      </c>
      <c r="H200" t="s">
        <v>27</v>
      </c>
      <c r="I200" t="s">
        <v>182</v>
      </c>
      <c r="J200" t="s">
        <v>29</v>
      </c>
      <c r="K200" t="s">
        <v>46</v>
      </c>
      <c r="L200" t="s">
        <v>38</v>
      </c>
      <c r="M200" s="1">
        <v>0</v>
      </c>
      <c r="N200">
        <v>0</v>
      </c>
      <c r="O200">
        <v>0</v>
      </c>
      <c r="P200">
        <v>91.25</v>
      </c>
      <c r="Q200">
        <v>0</v>
      </c>
      <c r="R200" s="2">
        <v>0</v>
      </c>
      <c r="S200">
        <v>1</v>
      </c>
      <c r="T200">
        <v>1</v>
      </c>
    </row>
    <row r="201" spans="1:20" x14ac:dyDescent="0.2">
      <c r="A201" t="s">
        <v>234</v>
      </c>
      <c r="B201" t="s">
        <v>158</v>
      </c>
      <c r="C201" t="s">
        <v>235</v>
      </c>
      <c r="D201" t="s">
        <v>236</v>
      </c>
      <c r="E201" t="s">
        <v>42</v>
      </c>
      <c r="F201" t="s">
        <v>58</v>
      </c>
      <c r="G201" t="s">
        <v>43</v>
      </c>
      <c r="H201" t="s">
        <v>27</v>
      </c>
      <c r="I201" t="s">
        <v>182</v>
      </c>
      <c r="J201" t="s">
        <v>29</v>
      </c>
      <c r="K201" t="s">
        <v>46</v>
      </c>
      <c r="L201" t="s">
        <v>38</v>
      </c>
      <c r="M201" s="1">
        <v>0</v>
      </c>
      <c r="N201">
        <v>0</v>
      </c>
      <c r="O201">
        <v>0</v>
      </c>
      <c r="P201">
        <v>91.25</v>
      </c>
      <c r="Q201">
        <v>0</v>
      </c>
      <c r="R201" s="2">
        <v>0</v>
      </c>
      <c r="S201">
        <v>1</v>
      </c>
      <c r="T201">
        <v>1</v>
      </c>
    </row>
    <row r="202" spans="1:20" x14ac:dyDescent="0.2">
      <c r="A202" t="s">
        <v>277</v>
      </c>
      <c r="B202" t="s">
        <v>262</v>
      </c>
      <c r="C202" t="s">
        <v>510</v>
      </c>
      <c r="D202" t="s">
        <v>511</v>
      </c>
      <c r="E202" t="s">
        <v>42</v>
      </c>
      <c r="F202" t="s">
        <v>25</v>
      </c>
      <c r="G202" t="s">
        <v>43</v>
      </c>
      <c r="H202" t="s">
        <v>319</v>
      </c>
      <c r="I202" t="s">
        <v>182</v>
      </c>
      <c r="J202" t="s">
        <v>29</v>
      </c>
      <c r="K202" t="s">
        <v>46</v>
      </c>
      <c r="L202" t="s">
        <v>38</v>
      </c>
      <c r="M202" s="1">
        <v>0</v>
      </c>
      <c r="N202">
        <v>0</v>
      </c>
      <c r="O202">
        <v>0</v>
      </c>
      <c r="P202">
        <v>91.25</v>
      </c>
      <c r="Q202">
        <v>0</v>
      </c>
      <c r="R202" s="2">
        <v>0</v>
      </c>
      <c r="S202">
        <v>1</v>
      </c>
      <c r="T202">
        <v>1</v>
      </c>
    </row>
    <row r="203" spans="1:20" x14ac:dyDescent="0.2">
      <c r="A203" t="s">
        <v>1554</v>
      </c>
      <c r="B203" t="s">
        <v>250</v>
      </c>
      <c r="C203" t="s">
        <v>1555</v>
      </c>
      <c r="D203" t="s">
        <v>1556</v>
      </c>
      <c r="E203" t="s">
        <v>42</v>
      </c>
      <c r="F203" t="s">
        <v>25</v>
      </c>
      <c r="G203" t="s">
        <v>43</v>
      </c>
      <c r="H203" t="s">
        <v>1410</v>
      </c>
      <c r="I203" t="s">
        <v>182</v>
      </c>
      <c r="J203" t="s">
        <v>29</v>
      </c>
      <c r="K203" t="s">
        <v>46</v>
      </c>
      <c r="L203" t="s">
        <v>556</v>
      </c>
      <c r="M203" s="1">
        <v>0</v>
      </c>
      <c r="N203">
        <v>0</v>
      </c>
      <c r="O203">
        <v>0</v>
      </c>
      <c r="P203">
        <v>91.25</v>
      </c>
      <c r="Q203">
        <v>1</v>
      </c>
      <c r="R203" s="2">
        <v>0</v>
      </c>
      <c r="S203">
        <v>0</v>
      </c>
      <c r="T203">
        <v>0</v>
      </c>
    </row>
    <row r="204" spans="1:20" x14ac:dyDescent="0.2">
      <c r="A204" t="s">
        <v>202</v>
      </c>
      <c r="B204" t="s">
        <v>158</v>
      </c>
      <c r="C204" t="s">
        <v>456</v>
      </c>
      <c r="D204" t="s">
        <v>457</v>
      </c>
      <c r="E204" t="s">
        <v>42</v>
      </c>
      <c r="F204" t="s">
        <v>58</v>
      </c>
      <c r="G204" t="s">
        <v>43</v>
      </c>
      <c r="H204" t="s">
        <v>319</v>
      </c>
      <c r="I204" t="s">
        <v>458</v>
      </c>
      <c r="J204" t="s">
        <v>29</v>
      </c>
      <c r="K204" t="s">
        <v>46</v>
      </c>
      <c r="L204" t="s">
        <v>38</v>
      </c>
      <c r="M204" s="1">
        <v>0</v>
      </c>
      <c r="N204">
        <v>0</v>
      </c>
      <c r="O204">
        <v>0</v>
      </c>
      <c r="P204">
        <v>91.25</v>
      </c>
      <c r="Q204">
        <v>0</v>
      </c>
      <c r="R204" s="2">
        <v>0</v>
      </c>
      <c r="S204">
        <v>1</v>
      </c>
      <c r="T204">
        <v>1</v>
      </c>
    </row>
    <row r="205" spans="1:20" x14ac:dyDescent="0.2">
      <c r="A205" t="s">
        <v>516</v>
      </c>
      <c r="B205" t="s">
        <v>262</v>
      </c>
      <c r="C205" t="s">
        <v>744</v>
      </c>
      <c r="D205" t="s">
        <v>745</v>
      </c>
      <c r="E205" t="s">
        <v>42</v>
      </c>
      <c r="F205" t="s">
        <v>58</v>
      </c>
      <c r="G205" t="s">
        <v>43</v>
      </c>
      <c r="H205" t="s">
        <v>550</v>
      </c>
      <c r="I205" t="s">
        <v>458</v>
      </c>
      <c r="J205" t="s">
        <v>29</v>
      </c>
      <c r="K205" t="s">
        <v>46</v>
      </c>
      <c r="L205" t="s">
        <v>38</v>
      </c>
      <c r="M205" s="1">
        <v>0</v>
      </c>
      <c r="N205">
        <v>0</v>
      </c>
      <c r="O205">
        <v>0</v>
      </c>
      <c r="P205">
        <v>91.25</v>
      </c>
      <c r="Q205">
        <v>0</v>
      </c>
      <c r="R205" s="2">
        <v>0</v>
      </c>
      <c r="S205">
        <v>1</v>
      </c>
      <c r="T205">
        <v>1</v>
      </c>
    </row>
    <row r="206" spans="1:20" x14ac:dyDescent="0.2">
      <c r="A206" t="s">
        <v>32</v>
      </c>
      <c r="B206" t="s">
        <v>21</v>
      </c>
      <c r="C206" t="s">
        <v>1072</v>
      </c>
      <c r="D206" t="s">
        <v>1073</v>
      </c>
      <c r="E206" t="s">
        <v>42</v>
      </c>
      <c r="F206" t="s">
        <v>25</v>
      </c>
      <c r="G206" t="s">
        <v>43</v>
      </c>
      <c r="H206" t="s">
        <v>1071</v>
      </c>
      <c r="I206" t="s">
        <v>458</v>
      </c>
      <c r="J206" t="s">
        <v>29</v>
      </c>
      <c r="K206" t="s">
        <v>46</v>
      </c>
      <c r="L206" t="s">
        <v>556</v>
      </c>
      <c r="M206" s="1">
        <v>0</v>
      </c>
      <c r="N206">
        <v>0</v>
      </c>
      <c r="O206">
        <v>0</v>
      </c>
      <c r="P206">
        <v>91.25</v>
      </c>
      <c r="Q206">
        <v>1</v>
      </c>
      <c r="R206" s="2">
        <v>0</v>
      </c>
      <c r="S206">
        <v>0</v>
      </c>
      <c r="T206">
        <v>0</v>
      </c>
    </row>
    <row r="207" spans="1:20" x14ac:dyDescent="0.2">
      <c r="A207" t="s">
        <v>333</v>
      </c>
      <c r="B207" t="s">
        <v>158</v>
      </c>
      <c r="C207" t="s">
        <v>1235</v>
      </c>
      <c r="D207" t="s">
        <v>1236</v>
      </c>
      <c r="E207" t="s">
        <v>42</v>
      </c>
      <c r="F207" t="s">
        <v>58</v>
      </c>
      <c r="G207" t="s">
        <v>43</v>
      </c>
      <c r="H207" t="s">
        <v>1071</v>
      </c>
      <c r="I207" t="s">
        <v>458</v>
      </c>
      <c r="J207" t="s">
        <v>29</v>
      </c>
      <c r="K207" t="s">
        <v>46</v>
      </c>
      <c r="L207" t="s">
        <v>556</v>
      </c>
      <c r="M207" s="1">
        <v>0</v>
      </c>
      <c r="N207">
        <v>0</v>
      </c>
      <c r="O207">
        <v>0</v>
      </c>
      <c r="P207">
        <v>91.25</v>
      </c>
      <c r="Q207">
        <v>0</v>
      </c>
      <c r="R207" s="2">
        <v>0</v>
      </c>
      <c r="S207">
        <v>0</v>
      </c>
      <c r="T207">
        <v>1</v>
      </c>
    </row>
    <row r="208" spans="1:20" x14ac:dyDescent="0.2">
      <c r="A208" t="s">
        <v>51</v>
      </c>
      <c r="B208" t="s">
        <v>21</v>
      </c>
      <c r="C208" t="s">
        <v>1411</v>
      </c>
      <c r="D208" t="s">
        <v>1412</v>
      </c>
      <c r="E208" t="s">
        <v>42</v>
      </c>
      <c r="F208" t="s">
        <v>25</v>
      </c>
      <c r="G208" t="s">
        <v>43</v>
      </c>
      <c r="H208" t="s">
        <v>1410</v>
      </c>
      <c r="I208" t="s">
        <v>458</v>
      </c>
      <c r="J208" t="s">
        <v>29</v>
      </c>
      <c r="K208" t="s">
        <v>46</v>
      </c>
      <c r="L208" t="s">
        <v>556</v>
      </c>
      <c r="M208" s="1">
        <v>0</v>
      </c>
      <c r="N208">
        <v>0</v>
      </c>
      <c r="O208">
        <v>0</v>
      </c>
      <c r="P208">
        <v>91.25</v>
      </c>
      <c r="Q208">
        <v>1</v>
      </c>
      <c r="R208" s="2">
        <v>0</v>
      </c>
      <c r="S208">
        <v>0</v>
      </c>
      <c r="T208">
        <v>0</v>
      </c>
    </row>
    <row r="209" spans="1:20" x14ac:dyDescent="0.2">
      <c r="A209" t="s">
        <v>814</v>
      </c>
      <c r="B209" t="s">
        <v>21</v>
      </c>
      <c r="C209" t="s">
        <v>1413</v>
      </c>
      <c r="D209" t="s">
        <v>1414</v>
      </c>
      <c r="E209" t="s">
        <v>42</v>
      </c>
      <c r="F209" t="s">
        <v>25</v>
      </c>
      <c r="G209" t="s">
        <v>43</v>
      </c>
      <c r="H209" t="s">
        <v>1410</v>
      </c>
      <c r="I209" t="s">
        <v>458</v>
      </c>
      <c r="J209" t="s">
        <v>29</v>
      </c>
      <c r="K209" t="s">
        <v>46</v>
      </c>
      <c r="L209" t="s">
        <v>556</v>
      </c>
      <c r="M209" s="1">
        <v>0</v>
      </c>
      <c r="N209">
        <v>0</v>
      </c>
      <c r="O209">
        <v>0</v>
      </c>
      <c r="P209">
        <v>91.25</v>
      </c>
      <c r="Q209">
        <v>1</v>
      </c>
      <c r="R209" s="2">
        <v>0</v>
      </c>
      <c r="S209">
        <v>0</v>
      </c>
      <c r="T209">
        <v>0</v>
      </c>
    </row>
    <row r="210" spans="1:20" x14ac:dyDescent="0.2">
      <c r="A210" t="s">
        <v>32</v>
      </c>
      <c r="B210" t="s">
        <v>21</v>
      </c>
      <c r="C210" t="s">
        <v>1432</v>
      </c>
      <c r="D210" t="s">
        <v>1073</v>
      </c>
      <c r="E210" t="s">
        <v>42</v>
      </c>
      <c r="F210" t="s">
        <v>25</v>
      </c>
      <c r="G210" t="s">
        <v>43</v>
      </c>
      <c r="H210" t="s">
        <v>1410</v>
      </c>
      <c r="I210" t="s">
        <v>458</v>
      </c>
      <c r="J210" t="s">
        <v>29</v>
      </c>
      <c r="K210" t="s">
        <v>46</v>
      </c>
      <c r="L210" t="s">
        <v>556</v>
      </c>
      <c r="M210" s="1">
        <v>0</v>
      </c>
      <c r="N210">
        <v>0</v>
      </c>
      <c r="O210">
        <v>0</v>
      </c>
      <c r="P210">
        <v>91.25</v>
      </c>
      <c r="Q210">
        <v>1</v>
      </c>
      <c r="R210" s="2">
        <v>0</v>
      </c>
      <c r="S210">
        <v>0</v>
      </c>
      <c r="T210">
        <v>0</v>
      </c>
    </row>
    <row r="211" spans="1:20" x14ac:dyDescent="0.2">
      <c r="A211" t="s">
        <v>32</v>
      </c>
      <c r="B211" t="s">
        <v>21</v>
      </c>
      <c r="C211" t="s">
        <v>1435</v>
      </c>
      <c r="D211" t="s">
        <v>1436</v>
      </c>
      <c r="E211" t="s">
        <v>42</v>
      </c>
      <c r="F211" t="s">
        <v>25</v>
      </c>
      <c r="G211" t="s">
        <v>43</v>
      </c>
      <c r="H211" t="s">
        <v>1410</v>
      </c>
      <c r="I211" t="s">
        <v>458</v>
      </c>
      <c r="J211" t="s">
        <v>29</v>
      </c>
      <c r="K211" t="s">
        <v>46</v>
      </c>
      <c r="L211" t="s">
        <v>556</v>
      </c>
      <c r="M211" s="1">
        <v>0</v>
      </c>
      <c r="N211">
        <v>0</v>
      </c>
      <c r="O211">
        <v>0</v>
      </c>
      <c r="P211">
        <v>91.25</v>
      </c>
      <c r="Q211">
        <v>1</v>
      </c>
      <c r="R211" s="2">
        <v>0</v>
      </c>
      <c r="S211">
        <v>0</v>
      </c>
      <c r="T211">
        <v>0</v>
      </c>
    </row>
    <row r="212" spans="1:20" x14ac:dyDescent="0.2">
      <c r="A212" t="s">
        <v>452</v>
      </c>
      <c r="B212" t="s">
        <v>158</v>
      </c>
      <c r="C212" t="s">
        <v>453</v>
      </c>
      <c r="D212" t="s">
        <v>454</v>
      </c>
      <c r="E212" t="s">
        <v>42</v>
      </c>
      <c r="F212" t="s">
        <v>25</v>
      </c>
      <c r="G212" t="s">
        <v>43</v>
      </c>
      <c r="H212" t="s">
        <v>319</v>
      </c>
      <c r="I212" t="s">
        <v>455</v>
      </c>
      <c r="J212" t="s">
        <v>29</v>
      </c>
      <c r="K212" t="s">
        <v>46</v>
      </c>
      <c r="L212" t="s">
        <v>38</v>
      </c>
      <c r="M212" s="1">
        <v>0</v>
      </c>
      <c r="N212">
        <v>0</v>
      </c>
      <c r="O212">
        <v>0</v>
      </c>
      <c r="P212">
        <v>91.25</v>
      </c>
      <c r="Q212">
        <v>0</v>
      </c>
      <c r="R212" s="2">
        <v>0</v>
      </c>
      <c r="S212">
        <v>1</v>
      </c>
      <c r="T212">
        <v>1</v>
      </c>
    </row>
    <row r="213" spans="1:20" x14ac:dyDescent="0.2">
      <c r="A213" t="s">
        <v>361</v>
      </c>
      <c r="B213" t="s">
        <v>21</v>
      </c>
      <c r="C213" t="s">
        <v>794</v>
      </c>
      <c r="D213" t="s">
        <v>795</v>
      </c>
      <c r="E213" t="s">
        <v>42</v>
      </c>
      <c r="F213" t="s">
        <v>25</v>
      </c>
      <c r="G213" t="s">
        <v>43</v>
      </c>
      <c r="H213" t="s">
        <v>748</v>
      </c>
      <c r="I213" t="s">
        <v>455</v>
      </c>
      <c r="J213" t="s">
        <v>29</v>
      </c>
      <c r="K213" t="s">
        <v>46</v>
      </c>
      <c r="L213" t="s">
        <v>38</v>
      </c>
      <c r="M213" s="1">
        <v>0</v>
      </c>
      <c r="N213">
        <v>0</v>
      </c>
      <c r="O213">
        <v>0</v>
      </c>
      <c r="P213">
        <v>91.25</v>
      </c>
      <c r="Q213">
        <v>0</v>
      </c>
      <c r="R213" s="2">
        <v>0</v>
      </c>
      <c r="S213">
        <v>1</v>
      </c>
      <c r="T213">
        <v>1</v>
      </c>
    </row>
    <row r="214" spans="1:20" x14ac:dyDescent="0.2">
      <c r="A214" t="s">
        <v>254</v>
      </c>
      <c r="B214" t="s">
        <v>250</v>
      </c>
      <c r="C214" t="s">
        <v>973</v>
      </c>
      <c r="D214" t="s">
        <v>974</v>
      </c>
      <c r="E214" t="s">
        <v>42</v>
      </c>
      <c r="F214" t="s">
        <v>25</v>
      </c>
      <c r="G214" t="s">
        <v>43</v>
      </c>
      <c r="H214" t="s">
        <v>748</v>
      </c>
      <c r="I214" t="s">
        <v>455</v>
      </c>
      <c r="J214" t="s">
        <v>29</v>
      </c>
      <c r="K214" t="s">
        <v>46</v>
      </c>
      <c r="L214" t="s">
        <v>38</v>
      </c>
      <c r="M214" s="1">
        <v>0</v>
      </c>
      <c r="N214">
        <v>0</v>
      </c>
      <c r="O214">
        <v>0</v>
      </c>
      <c r="P214">
        <v>91.25</v>
      </c>
      <c r="Q214">
        <v>0</v>
      </c>
      <c r="R214" s="2">
        <v>0</v>
      </c>
      <c r="S214">
        <v>1</v>
      </c>
      <c r="T214">
        <v>1</v>
      </c>
    </row>
    <row r="215" spans="1:20" x14ac:dyDescent="0.2">
      <c r="A215" t="s">
        <v>254</v>
      </c>
      <c r="B215" t="s">
        <v>250</v>
      </c>
      <c r="C215" t="s">
        <v>975</v>
      </c>
      <c r="D215" t="s">
        <v>976</v>
      </c>
      <c r="E215" t="s">
        <v>42</v>
      </c>
      <c r="F215" t="s">
        <v>25</v>
      </c>
      <c r="G215" t="s">
        <v>43</v>
      </c>
      <c r="H215" t="s">
        <v>748</v>
      </c>
      <c r="I215" t="s">
        <v>977</v>
      </c>
      <c r="J215" t="s">
        <v>29</v>
      </c>
      <c r="K215" t="s">
        <v>46</v>
      </c>
      <c r="L215" t="s">
        <v>38</v>
      </c>
      <c r="M215" s="1">
        <v>0</v>
      </c>
      <c r="N215">
        <v>0</v>
      </c>
      <c r="O215">
        <v>0</v>
      </c>
      <c r="P215">
        <v>91.25</v>
      </c>
      <c r="Q215">
        <v>0</v>
      </c>
      <c r="R215" s="2">
        <v>0</v>
      </c>
      <c r="S215">
        <v>1</v>
      </c>
      <c r="T215">
        <v>1</v>
      </c>
    </row>
    <row r="216" spans="1:20" x14ac:dyDescent="0.2">
      <c r="A216" t="s">
        <v>1096</v>
      </c>
      <c r="B216" t="s">
        <v>21</v>
      </c>
      <c r="C216" t="s">
        <v>1097</v>
      </c>
      <c r="D216" t="s">
        <v>1098</v>
      </c>
      <c r="E216" t="s">
        <v>42</v>
      </c>
      <c r="F216" t="s">
        <v>25</v>
      </c>
      <c r="G216" t="s">
        <v>43</v>
      </c>
      <c r="H216" t="s">
        <v>1071</v>
      </c>
      <c r="I216" t="s">
        <v>977</v>
      </c>
      <c r="J216" t="s">
        <v>29</v>
      </c>
      <c r="K216" t="s">
        <v>46</v>
      </c>
      <c r="L216" t="s">
        <v>556</v>
      </c>
      <c r="M216" s="1">
        <v>0</v>
      </c>
      <c r="N216">
        <v>0</v>
      </c>
      <c r="O216">
        <v>0</v>
      </c>
      <c r="P216">
        <v>91.25</v>
      </c>
      <c r="Q216">
        <v>1</v>
      </c>
      <c r="R216" s="2">
        <v>0</v>
      </c>
      <c r="S216">
        <v>0</v>
      </c>
      <c r="T216">
        <v>0</v>
      </c>
    </row>
    <row r="217" spans="1:20" x14ac:dyDescent="0.2">
      <c r="A217" t="s">
        <v>1371</v>
      </c>
      <c r="B217" t="s">
        <v>262</v>
      </c>
      <c r="C217" t="s">
        <v>1372</v>
      </c>
      <c r="D217" t="s">
        <v>1373</v>
      </c>
      <c r="E217" t="s">
        <v>42</v>
      </c>
      <c r="F217" t="s">
        <v>25</v>
      </c>
      <c r="G217" t="s">
        <v>43</v>
      </c>
      <c r="H217" t="s">
        <v>1071</v>
      </c>
      <c r="I217" t="s">
        <v>977</v>
      </c>
      <c r="J217" t="s">
        <v>29</v>
      </c>
      <c r="K217" t="s">
        <v>46</v>
      </c>
      <c r="L217" t="s">
        <v>556</v>
      </c>
      <c r="M217" s="1">
        <v>0</v>
      </c>
      <c r="N217">
        <v>0</v>
      </c>
      <c r="O217">
        <v>0</v>
      </c>
      <c r="P217">
        <v>91.25</v>
      </c>
      <c r="Q217">
        <v>1</v>
      </c>
      <c r="R217" s="2">
        <v>0</v>
      </c>
      <c r="S217">
        <v>0</v>
      </c>
      <c r="T217">
        <v>0</v>
      </c>
    </row>
    <row r="218" spans="1:20" x14ac:dyDescent="0.2">
      <c r="A218" t="s">
        <v>1450</v>
      </c>
      <c r="B218" t="s">
        <v>21</v>
      </c>
      <c r="C218" t="s">
        <v>1451</v>
      </c>
      <c r="D218" t="s">
        <v>1452</v>
      </c>
      <c r="E218" t="s">
        <v>42</v>
      </c>
      <c r="F218" t="s">
        <v>25</v>
      </c>
      <c r="G218" t="s">
        <v>43</v>
      </c>
      <c r="H218" t="s">
        <v>1410</v>
      </c>
      <c r="I218" t="s">
        <v>977</v>
      </c>
      <c r="J218" t="s">
        <v>29</v>
      </c>
      <c r="K218" t="s">
        <v>46</v>
      </c>
      <c r="L218" t="s">
        <v>556</v>
      </c>
      <c r="M218" s="1">
        <v>0</v>
      </c>
      <c r="N218">
        <v>0</v>
      </c>
      <c r="O218">
        <v>0</v>
      </c>
      <c r="P218">
        <v>91.25</v>
      </c>
      <c r="Q218">
        <v>1</v>
      </c>
      <c r="R218" s="2">
        <v>0</v>
      </c>
      <c r="S218">
        <v>0</v>
      </c>
      <c r="T218">
        <v>0</v>
      </c>
    </row>
    <row r="219" spans="1:20" x14ac:dyDescent="0.2">
      <c r="A219" t="s">
        <v>1453</v>
      </c>
      <c r="B219" t="s">
        <v>21</v>
      </c>
      <c r="C219" t="s">
        <v>1454</v>
      </c>
      <c r="D219" t="s">
        <v>1455</v>
      </c>
      <c r="E219" t="s">
        <v>42</v>
      </c>
      <c r="F219" t="s">
        <v>25</v>
      </c>
      <c r="G219" t="s">
        <v>43</v>
      </c>
      <c r="H219" t="s">
        <v>1410</v>
      </c>
      <c r="I219" t="s">
        <v>977</v>
      </c>
      <c r="J219" t="s">
        <v>29</v>
      </c>
      <c r="K219" t="s">
        <v>46</v>
      </c>
      <c r="L219" t="s">
        <v>556</v>
      </c>
      <c r="M219" s="1">
        <v>0</v>
      </c>
      <c r="N219">
        <v>0</v>
      </c>
      <c r="O219">
        <v>0</v>
      </c>
      <c r="P219">
        <v>91.25</v>
      </c>
      <c r="Q219">
        <v>1</v>
      </c>
      <c r="R219" s="2">
        <v>0</v>
      </c>
      <c r="S219">
        <v>0</v>
      </c>
      <c r="T219">
        <v>0</v>
      </c>
    </row>
    <row r="220" spans="1:20" x14ac:dyDescent="0.2">
      <c r="A220" t="s">
        <v>157</v>
      </c>
      <c r="B220" t="s">
        <v>158</v>
      </c>
      <c r="C220" t="s">
        <v>468</v>
      </c>
      <c r="D220" t="s">
        <v>469</v>
      </c>
      <c r="E220" t="s">
        <v>42</v>
      </c>
      <c r="F220" t="s">
        <v>58</v>
      </c>
      <c r="G220" t="s">
        <v>43</v>
      </c>
      <c r="H220" t="s">
        <v>319</v>
      </c>
      <c r="I220" t="s">
        <v>470</v>
      </c>
      <c r="J220" t="s">
        <v>29</v>
      </c>
      <c r="K220" t="s">
        <v>46</v>
      </c>
      <c r="L220" t="s">
        <v>38</v>
      </c>
      <c r="M220" s="1">
        <v>0</v>
      </c>
      <c r="N220">
        <v>0</v>
      </c>
      <c r="O220">
        <v>0</v>
      </c>
      <c r="P220">
        <v>91.25</v>
      </c>
      <c r="Q220">
        <v>0</v>
      </c>
      <c r="R220" s="2">
        <v>0</v>
      </c>
      <c r="S220">
        <v>1</v>
      </c>
      <c r="T220">
        <v>1</v>
      </c>
    </row>
    <row r="221" spans="1:20" x14ac:dyDescent="0.2">
      <c r="A221" t="s">
        <v>237</v>
      </c>
      <c r="B221" t="s">
        <v>158</v>
      </c>
      <c r="C221" t="s">
        <v>471</v>
      </c>
      <c r="D221" t="s">
        <v>472</v>
      </c>
      <c r="E221" t="s">
        <v>42</v>
      </c>
      <c r="F221" t="s">
        <v>25</v>
      </c>
      <c r="G221" t="s">
        <v>43</v>
      </c>
      <c r="H221" t="s">
        <v>319</v>
      </c>
      <c r="I221" t="s">
        <v>470</v>
      </c>
      <c r="J221" t="s">
        <v>29</v>
      </c>
      <c r="K221" t="s">
        <v>46</v>
      </c>
      <c r="L221" t="s">
        <v>38</v>
      </c>
      <c r="M221" s="1">
        <v>0</v>
      </c>
      <c r="N221">
        <v>0</v>
      </c>
      <c r="O221">
        <v>0</v>
      </c>
      <c r="P221">
        <v>91.25</v>
      </c>
      <c r="Q221">
        <v>0</v>
      </c>
      <c r="R221" s="2">
        <v>0</v>
      </c>
      <c r="S221">
        <v>1</v>
      </c>
      <c r="T221">
        <v>1</v>
      </c>
    </row>
    <row r="222" spans="1:20" x14ac:dyDescent="0.2">
      <c r="A222" t="s">
        <v>237</v>
      </c>
      <c r="B222" t="s">
        <v>158</v>
      </c>
      <c r="C222" t="s">
        <v>643</v>
      </c>
      <c r="D222" t="s">
        <v>472</v>
      </c>
      <c r="E222" t="s">
        <v>42</v>
      </c>
      <c r="F222" t="s">
        <v>25</v>
      </c>
      <c r="G222" t="s">
        <v>43</v>
      </c>
      <c r="H222" t="s">
        <v>550</v>
      </c>
      <c r="I222" t="s">
        <v>470</v>
      </c>
      <c r="J222" t="s">
        <v>29</v>
      </c>
      <c r="K222" t="s">
        <v>46</v>
      </c>
      <c r="L222" t="s">
        <v>38</v>
      </c>
      <c r="M222" s="1">
        <v>0</v>
      </c>
      <c r="N222">
        <v>0</v>
      </c>
      <c r="O222">
        <v>0</v>
      </c>
      <c r="P222">
        <v>91.25</v>
      </c>
      <c r="Q222">
        <v>0</v>
      </c>
      <c r="R222" s="2">
        <v>0</v>
      </c>
      <c r="S222">
        <v>1</v>
      </c>
      <c r="T222">
        <v>1</v>
      </c>
    </row>
    <row r="223" spans="1:20" x14ac:dyDescent="0.2">
      <c r="A223" t="s">
        <v>307</v>
      </c>
      <c r="B223" t="s">
        <v>262</v>
      </c>
      <c r="C223" t="s">
        <v>1016</v>
      </c>
      <c r="D223" t="s">
        <v>745</v>
      </c>
      <c r="E223" t="s">
        <v>42</v>
      </c>
      <c r="F223" t="s">
        <v>58</v>
      </c>
      <c r="G223" t="s">
        <v>43</v>
      </c>
      <c r="H223" t="s">
        <v>748</v>
      </c>
      <c r="I223" t="s">
        <v>470</v>
      </c>
      <c r="J223" t="s">
        <v>29</v>
      </c>
      <c r="K223" t="s">
        <v>46</v>
      </c>
      <c r="L223" t="s">
        <v>38</v>
      </c>
      <c r="M223" s="1">
        <v>0</v>
      </c>
      <c r="N223">
        <v>0</v>
      </c>
      <c r="O223">
        <v>0</v>
      </c>
      <c r="P223">
        <v>91.25</v>
      </c>
      <c r="Q223">
        <v>0</v>
      </c>
      <c r="R223" s="2">
        <v>0</v>
      </c>
      <c r="S223">
        <v>1</v>
      </c>
      <c r="T223">
        <v>1</v>
      </c>
    </row>
    <row r="224" spans="1:20" x14ac:dyDescent="0.2">
      <c r="A224" t="s">
        <v>146</v>
      </c>
      <c r="B224" t="s">
        <v>21</v>
      </c>
      <c r="C224" t="s">
        <v>1121</v>
      </c>
      <c r="D224" t="s">
        <v>1122</v>
      </c>
      <c r="E224" t="s">
        <v>42</v>
      </c>
      <c r="F224" t="s">
        <v>25</v>
      </c>
      <c r="G224" t="s">
        <v>43</v>
      </c>
      <c r="H224" t="s">
        <v>1071</v>
      </c>
      <c r="I224" t="s">
        <v>470</v>
      </c>
      <c r="J224" t="s">
        <v>29</v>
      </c>
      <c r="K224" t="s">
        <v>46</v>
      </c>
      <c r="L224" t="s">
        <v>38</v>
      </c>
      <c r="M224" s="1">
        <v>0</v>
      </c>
      <c r="N224">
        <v>0</v>
      </c>
      <c r="O224">
        <v>0</v>
      </c>
      <c r="P224">
        <v>91.25</v>
      </c>
      <c r="Q224">
        <v>0</v>
      </c>
      <c r="R224" s="2">
        <v>0</v>
      </c>
      <c r="S224">
        <v>1</v>
      </c>
      <c r="T224">
        <v>1</v>
      </c>
    </row>
    <row r="225" spans="1:20" x14ac:dyDescent="0.2">
      <c r="A225" t="s">
        <v>875</v>
      </c>
      <c r="B225" t="s">
        <v>158</v>
      </c>
      <c r="C225" t="s">
        <v>1256</v>
      </c>
      <c r="D225" t="s">
        <v>573</v>
      </c>
      <c r="E225" t="s">
        <v>42</v>
      </c>
      <c r="F225" t="s">
        <v>25</v>
      </c>
      <c r="G225" t="s">
        <v>43</v>
      </c>
      <c r="H225" t="s">
        <v>1071</v>
      </c>
      <c r="I225" t="s">
        <v>470</v>
      </c>
      <c r="J225" t="s">
        <v>29</v>
      </c>
      <c r="K225" t="s">
        <v>46</v>
      </c>
      <c r="L225" t="s">
        <v>556</v>
      </c>
      <c r="M225" s="1">
        <v>0</v>
      </c>
      <c r="N225">
        <v>0</v>
      </c>
      <c r="O225">
        <v>0</v>
      </c>
      <c r="P225">
        <v>91.25</v>
      </c>
      <c r="Q225">
        <v>1</v>
      </c>
      <c r="R225" s="2">
        <v>0</v>
      </c>
      <c r="S225">
        <v>0</v>
      </c>
      <c r="T225">
        <v>0</v>
      </c>
    </row>
    <row r="226" spans="1:20" x14ac:dyDescent="0.2">
      <c r="A226" t="s">
        <v>438</v>
      </c>
      <c r="B226" t="s">
        <v>158</v>
      </c>
      <c r="C226" t="s">
        <v>1542</v>
      </c>
      <c r="D226" t="s">
        <v>1543</v>
      </c>
      <c r="E226" t="s">
        <v>42</v>
      </c>
      <c r="F226" t="s">
        <v>25</v>
      </c>
      <c r="G226" t="s">
        <v>43</v>
      </c>
      <c r="H226" t="s">
        <v>1410</v>
      </c>
      <c r="I226" t="s">
        <v>470</v>
      </c>
      <c r="J226" t="s">
        <v>29</v>
      </c>
      <c r="K226" t="s">
        <v>46</v>
      </c>
      <c r="L226" t="s">
        <v>556</v>
      </c>
      <c r="M226" s="1">
        <v>0</v>
      </c>
      <c r="N226">
        <v>0</v>
      </c>
      <c r="O226">
        <v>0</v>
      </c>
      <c r="P226">
        <v>91.25</v>
      </c>
      <c r="Q226">
        <v>1</v>
      </c>
      <c r="R226" s="2">
        <v>0</v>
      </c>
      <c r="S226">
        <v>0</v>
      </c>
      <c r="T226">
        <v>0</v>
      </c>
    </row>
    <row r="227" spans="1:20" x14ac:dyDescent="0.2">
      <c r="A227" t="s">
        <v>307</v>
      </c>
      <c r="B227" t="s">
        <v>262</v>
      </c>
      <c r="C227" t="s">
        <v>1569</v>
      </c>
      <c r="D227" t="s">
        <v>1570</v>
      </c>
      <c r="E227" t="s">
        <v>42</v>
      </c>
      <c r="F227" t="s">
        <v>58</v>
      </c>
      <c r="G227" t="s">
        <v>43</v>
      </c>
      <c r="H227" t="s">
        <v>1410</v>
      </c>
      <c r="I227" t="s">
        <v>470</v>
      </c>
      <c r="J227" t="s">
        <v>29</v>
      </c>
      <c r="K227" t="s">
        <v>46</v>
      </c>
      <c r="L227" t="s">
        <v>556</v>
      </c>
      <c r="M227" s="1">
        <v>0</v>
      </c>
      <c r="N227">
        <v>0</v>
      </c>
      <c r="O227">
        <v>0</v>
      </c>
      <c r="P227">
        <v>91.25</v>
      </c>
      <c r="Q227">
        <v>1</v>
      </c>
      <c r="R227" s="2">
        <v>0</v>
      </c>
      <c r="S227">
        <v>0</v>
      </c>
      <c r="T227">
        <v>0</v>
      </c>
    </row>
    <row r="228" spans="1:20" x14ac:dyDescent="0.2">
      <c r="A228" t="s">
        <v>47</v>
      </c>
      <c r="B228" t="s">
        <v>21</v>
      </c>
      <c r="C228" t="s">
        <v>339</v>
      </c>
      <c r="D228" t="s">
        <v>340</v>
      </c>
      <c r="E228" t="s">
        <v>42</v>
      </c>
      <c r="F228" t="s">
        <v>25</v>
      </c>
      <c r="G228" t="s">
        <v>43</v>
      </c>
      <c r="H228" t="s">
        <v>319</v>
      </c>
      <c r="I228" t="s">
        <v>341</v>
      </c>
      <c r="J228" t="s">
        <v>45</v>
      </c>
      <c r="K228" t="s">
        <v>46</v>
      </c>
      <c r="L228" t="s">
        <v>31</v>
      </c>
      <c r="M228" s="1">
        <v>0</v>
      </c>
      <c r="N228">
        <v>1</v>
      </c>
      <c r="O228">
        <v>1</v>
      </c>
      <c r="P228">
        <v>91.25</v>
      </c>
      <c r="Q228">
        <v>0</v>
      </c>
      <c r="R228" s="2">
        <v>1</v>
      </c>
      <c r="S228">
        <v>0</v>
      </c>
      <c r="T228">
        <v>0</v>
      </c>
    </row>
    <row r="229" spans="1:20" x14ac:dyDescent="0.2">
      <c r="A229" t="s">
        <v>20</v>
      </c>
      <c r="B229" t="s">
        <v>250</v>
      </c>
      <c r="C229" t="s">
        <v>500</v>
      </c>
      <c r="D229" t="s">
        <v>501</v>
      </c>
      <c r="E229" t="s">
        <v>42</v>
      </c>
      <c r="F229" t="s">
        <v>25</v>
      </c>
      <c r="G229" t="s">
        <v>43</v>
      </c>
      <c r="H229" t="s">
        <v>319</v>
      </c>
      <c r="I229" t="s">
        <v>341</v>
      </c>
      <c r="J229" t="s">
        <v>45</v>
      </c>
      <c r="K229" t="s">
        <v>46</v>
      </c>
      <c r="L229" t="s">
        <v>38</v>
      </c>
      <c r="M229" s="1">
        <v>0</v>
      </c>
      <c r="N229">
        <v>0</v>
      </c>
      <c r="O229">
        <v>0</v>
      </c>
      <c r="P229">
        <v>91.25</v>
      </c>
      <c r="Q229">
        <v>0</v>
      </c>
      <c r="R229" s="2">
        <v>0</v>
      </c>
      <c r="S229">
        <v>1</v>
      </c>
      <c r="T229">
        <v>1</v>
      </c>
    </row>
    <row r="230" spans="1:20" x14ac:dyDescent="0.2">
      <c r="A230" t="s">
        <v>268</v>
      </c>
      <c r="B230" t="s">
        <v>262</v>
      </c>
      <c r="C230" t="s">
        <v>519</v>
      </c>
      <c r="D230" t="s">
        <v>520</v>
      </c>
      <c r="E230" t="s">
        <v>42</v>
      </c>
      <c r="F230" t="s">
        <v>25</v>
      </c>
      <c r="G230" t="s">
        <v>43</v>
      </c>
      <c r="H230" t="s">
        <v>319</v>
      </c>
      <c r="I230" t="s">
        <v>341</v>
      </c>
      <c r="J230" t="s">
        <v>45</v>
      </c>
      <c r="K230" t="s">
        <v>46</v>
      </c>
      <c r="L230" t="s">
        <v>38</v>
      </c>
      <c r="M230" s="1">
        <v>0</v>
      </c>
      <c r="N230">
        <v>0</v>
      </c>
      <c r="O230">
        <v>0</v>
      </c>
      <c r="P230">
        <v>91.25</v>
      </c>
      <c r="Q230">
        <v>0</v>
      </c>
      <c r="R230" s="2">
        <v>0</v>
      </c>
      <c r="S230">
        <v>1</v>
      </c>
      <c r="T230">
        <v>1</v>
      </c>
    </row>
    <row r="231" spans="1:20" x14ac:dyDescent="0.2">
      <c r="A231" t="s">
        <v>20</v>
      </c>
      <c r="B231" t="s">
        <v>250</v>
      </c>
      <c r="C231" t="s">
        <v>683</v>
      </c>
      <c r="D231" t="s">
        <v>684</v>
      </c>
      <c r="E231" t="s">
        <v>42</v>
      </c>
      <c r="F231" t="s">
        <v>25</v>
      </c>
      <c r="G231" t="s">
        <v>43</v>
      </c>
      <c r="H231" t="s">
        <v>550</v>
      </c>
      <c r="I231" t="s">
        <v>341</v>
      </c>
      <c r="J231" t="s">
        <v>45</v>
      </c>
      <c r="K231" t="s">
        <v>46</v>
      </c>
      <c r="L231" t="s">
        <v>38</v>
      </c>
      <c r="M231" s="1">
        <v>0</v>
      </c>
      <c r="N231">
        <v>0</v>
      </c>
      <c r="O231">
        <v>0</v>
      </c>
      <c r="P231">
        <v>91.25</v>
      </c>
      <c r="Q231">
        <v>0</v>
      </c>
      <c r="R231" s="2">
        <v>0</v>
      </c>
      <c r="S231">
        <v>1</v>
      </c>
      <c r="T231">
        <v>1</v>
      </c>
    </row>
    <row r="232" spans="1:20" x14ac:dyDescent="0.2">
      <c r="A232" t="s">
        <v>51</v>
      </c>
      <c r="B232" t="s">
        <v>21</v>
      </c>
      <c r="C232" t="s">
        <v>768</v>
      </c>
      <c r="D232" t="s">
        <v>769</v>
      </c>
      <c r="E232" t="s">
        <v>42</v>
      </c>
      <c r="F232" t="s">
        <v>25</v>
      </c>
      <c r="G232" t="s">
        <v>43</v>
      </c>
      <c r="H232" t="s">
        <v>748</v>
      </c>
      <c r="I232" t="s">
        <v>341</v>
      </c>
      <c r="J232" t="s">
        <v>45</v>
      </c>
      <c r="K232" t="s">
        <v>46</v>
      </c>
      <c r="L232" t="s">
        <v>31</v>
      </c>
      <c r="M232" s="1">
        <v>0</v>
      </c>
      <c r="N232">
        <v>1</v>
      </c>
      <c r="O232">
        <v>1</v>
      </c>
      <c r="P232">
        <v>91.25</v>
      </c>
      <c r="Q232">
        <v>0</v>
      </c>
      <c r="R232" s="2">
        <v>1</v>
      </c>
      <c r="S232">
        <v>0</v>
      </c>
      <c r="T232">
        <v>0</v>
      </c>
    </row>
    <row r="233" spans="1:20" x14ac:dyDescent="0.2">
      <c r="A233" t="s">
        <v>91</v>
      </c>
      <c r="B233" t="s">
        <v>21</v>
      </c>
      <c r="C233" t="s">
        <v>770</v>
      </c>
      <c r="D233" t="s">
        <v>771</v>
      </c>
      <c r="E233" t="s">
        <v>42</v>
      </c>
      <c r="F233" t="s">
        <v>25</v>
      </c>
      <c r="G233" t="s">
        <v>43</v>
      </c>
      <c r="H233" t="s">
        <v>748</v>
      </c>
      <c r="I233" t="s">
        <v>341</v>
      </c>
      <c r="J233" t="s">
        <v>45</v>
      </c>
      <c r="K233" t="s">
        <v>46</v>
      </c>
      <c r="L233" t="s">
        <v>38</v>
      </c>
      <c r="M233" s="1">
        <v>0</v>
      </c>
      <c r="N233">
        <v>0</v>
      </c>
      <c r="O233">
        <v>0</v>
      </c>
      <c r="P233">
        <v>91.25</v>
      </c>
      <c r="Q233">
        <v>0</v>
      </c>
      <c r="R233" s="2">
        <v>0</v>
      </c>
      <c r="S233">
        <v>1</v>
      </c>
      <c r="T233">
        <v>1</v>
      </c>
    </row>
    <row r="234" spans="1:20" x14ac:dyDescent="0.2">
      <c r="A234" t="s">
        <v>1013</v>
      </c>
      <c r="B234" t="s">
        <v>262</v>
      </c>
      <c r="C234" t="s">
        <v>1014</v>
      </c>
      <c r="D234" t="s">
        <v>1015</v>
      </c>
      <c r="E234" t="s">
        <v>42</v>
      </c>
      <c r="F234" t="s">
        <v>25</v>
      </c>
      <c r="G234" t="s">
        <v>43</v>
      </c>
      <c r="H234" t="s">
        <v>748</v>
      </c>
      <c r="I234" t="s">
        <v>341</v>
      </c>
      <c r="J234" t="s">
        <v>45</v>
      </c>
      <c r="K234" t="s">
        <v>46</v>
      </c>
      <c r="L234" t="s">
        <v>31</v>
      </c>
      <c r="M234" s="1">
        <v>0</v>
      </c>
      <c r="N234">
        <v>1</v>
      </c>
      <c r="O234">
        <v>1</v>
      </c>
      <c r="P234">
        <v>91.25</v>
      </c>
      <c r="Q234">
        <v>0</v>
      </c>
      <c r="R234" s="2">
        <v>1</v>
      </c>
      <c r="S234">
        <v>0</v>
      </c>
      <c r="T234">
        <v>0</v>
      </c>
    </row>
    <row r="235" spans="1:20" x14ac:dyDescent="0.2">
      <c r="A235" t="s">
        <v>79</v>
      </c>
      <c r="B235" t="s">
        <v>21</v>
      </c>
      <c r="C235" t="s">
        <v>1085</v>
      </c>
      <c r="D235" t="s">
        <v>1086</v>
      </c>
      <c r="E235" t="s">
        <v>42</v>
      </c>
      <c r="F235" t="s">
        <v>25</v>
      </c>
      <c r="G235" t="s">
        <v>43</v>
      </c>
      <c r="H235" t="s">
        <v>1071</v>
      </c>
      <c r="I235" t="s">
        <v>341</v>
      </c>
      <c r="J235" t="s">
        <v>45</v>
      </c>
      <c r="K235" t="s">
        <v>46</v>
      </c>
      <c r="L235" t="s">
        <v>38</v>
      </c>
      <c r="M235" s="1">
        <v>0</v>
      </c>
      <c r="N235">
        <v>0</v>
      </c>
      <c r="O235">
        <v>0</v>
      </c>
      <c r="P235">
        <v>91.25</v>
      </c>
      <c r="Q235">
        <v>0</v>
      </c>
      <c r="R235" s="2">
        <v>0</v>
      </c>
      <c r="S235">
        <v>1</v>
      </c>
      <c r="T235">
        <v>1</v>
      </c>
    </row>
    <row r="236" spans="1:20" x14ac:dyDescent="0.2">
      <c r="A236" t="s">
        <v>32</v>
      </c>
      <c r="B236" t="s">
        <v>21</v>
      </c>
      <c r="C236" t="s">
        <v>1087</v>
      </c>
      <c r="D236" t="s">
        <v>1088</v>
      </c>
      <c r="E236" t="s">
        <v>42</v>
      </c>
      <c r="F236" t="s">
        <v>25</v>
      </c>
      <c r="G236" t="s">
        <v>43</v>
      </c>
      <c r="H236" t="s">
        <v>1071</v>
      </c>
      <c r="I236" t="s">
        <v>341</v>
      </c>
      <c r="J236" t="s">
        <v>45</v>
      </c>
      <c r="K236" t="s">
        <v>46</v>
      </c>
      <c r="L236" t="s">
        <v>556</v>
      </c>
      <c r="M236" s="1">
        <v>0</v>
      </c>
      <c r="N236">
        <v>0</v>
      </c>
      <c r="O236">
        <v>0</v>
      </c>
      <c r="P236">
        <v>91.25</v>
      </c>
      <c r="Q236">
        <v>1</v>
      </c>
      <c r="R236" s="2">
        <v>0</v>
      </c>
      <c r="S236">
        <v>0</v>
      </c>
      <c r="T236">
        <v>0</v>
      </c>
    </row>
    <row r="237" spans="1:20" x14ac:dyDescent="0.2">
      <c r="A237" t="s">
        <v>32</v>
      </c>
      <c r="B237" t="s">
        <v>21</v>
      </c>
      <c r="C237" t="s">
        <v>1089</v>
      </c>
      <c r="D237" t="s">
        <v>1090</v>
      </c>
      <c r="E237" t="s">
        <v>42</v>
      </c>
      <c r="F237" t="s">
        <v>25</v>
      </c>
      <c r="G237" t="s">
        <v>43</v>
      </c>
      <c r="H237" t="s">
        <v>1071</v>
      </c>
      <c r="I237" t="s">
        <v>341</v>
      </c>
      <c r="J237" t="s">
        <v>45</v>
      </c>
      <c r="K237" t="s">
        <v>46</v>
      </c>
      <c r="L237" t="s">
        <v>556</v>
      </c>
      <c r="M237" s="1">
        <v>0</v>
      </c>
      <c r="N237">
        <v>0</v>
      </c>
      <c r="O237">
        <v>0</v>
      </c>
      <c r="P237">
        <v>91.25</v>
      </c>
      <c r="Q237">
        <v>0</v>
      </c>
      <c r="R237" s="2">
        <v>0</v>
      </c>
      <c r="S237">
        <v>0</v>
      </c>
      <c r="T237">
        <v>1</v>
      </c>
    </row>
    <row r="238" spans="1:20" x14ac:dyDescent="0.2">
      <c r="A238" t="s">
        <v>1093</v>
      </c>
      <c r="B238" t="s">
        <v>21</v>
      </c>
      <c r="C238" t="s">
        <v>1094</v>
      </c>
      <c r="D238" t="s">
        <v>1095</v>
      </c>
      <c r="E238" t="s">
        <v>42</v>
      </c>
      <c r="F238" t="s">
        <v>25</v>
      </c>
      <c r="G238" t="s">
        <v>43</v>
      </c>
      <c r="H238" t="s">
        <v>1071</v>
      </c>
      <c r="I238" t="s">
        <v>341</v>
      </c>
      <c r="J238" t="s">
        <v>45</v>
      </c>
      <c r="K238" t="s">
        <v>46</v>
      </c>
      <c r="L238" t="s">
        <v>556</v>
      </c>
      <c r="M238" s="1">
        <v>0</v>
      </c>
      <c r="N238">
        <v>0</v>
      </c>
      <c r="O238">
        <v>0</v>
      </c>
      <c r="P238">
        <v>91.25</v>
      </c>
      <c r="Q238">
        <v>1</v>
      </c>
      <c r="R238" s="2">
        <v>0</v>
      </c>
      <c r="S238">
        <v>0</v>
      </c>
      <c r="T238">
        <v>0</v>
      </c>
    </row>
    <row r="239" spans="1:20" x14ac:dyDescent="0.2">
      <c r="A239" t="s">
        <v>32</v>
      </c>
      <c r="B239" t="s">
        <v>21</v>
      </c>
      <c r="C239" t="s">
        <v>1101</v>
      </c>
      <c r="D239" t="s">
        <v>1102</v>
      </c>
      <c r="E239" t="s">
        <v>42</v>
      </c>
      <c r="F239" t="s">
        <v>25</v>
      </c>
      <c r="G239" t="s">
        <v>43</v>
      </c>
      <c r="H239" t="s">
        <v>1071</v>
      </c>
      <c r="I239" t="s">
        <v>341</v>
      </c>
      <c r="J239" t="s">
        <v>45</v>
      </c>
      <c r="K239" t="s">
        <v>46</v>
      </c>
      <c r="L239" t="s">
        <v>556</v>
      </c>
      <c r="M239" s="1">
        <v>0</v>
      </c>
      <c r="N239">
        <v>0</v>
      </c>
      <c r="O239">
        <v>0</v>
      </c>
      <c r="P239">
        <v>91.25</v>
      </c>
      <c r="Q239">
        <v>0</v>
      </c>
      <c r="R239" s="2">
        <v>0</v>
      </c>
      <c r="S239">
        <v>0</v>
      </c>
      <c r="T239">
        <v>1</v>
      </c>
    </row>
    <row r="240" spans="1:20" x14ac:dyDescent="0.2">
      <c r="A240" t="s">
        <v>157</v>
      </c>
      <c r="B240" t="s">
        <v>158</v>
      </c>
      <c r="C240" t="s">
        <v>1223</v>
      </c>
      <c r="D240" t="s">
        <v>1224</v>
      </c>
      <c r="E240" t="s">
        <v>42</v>
      </c>
      <c r="F240" t="s">
        <v>25</v>
      </c>
      <c r="G240" t="s">
        <v>43</v>
      </c>
      <c r="H240" t="s">
        <v>1071</v>
      </c>
      <c r="I240" t="s">
        <v>341</v>
      </c>
      <c r="J240" t="s">
        <v>45</v>
      </c>
      <c r="K240" t="s">
        <v>46</v>
      </c>
      <c r="L240" t="s">
        <v>31</v>
      </c>
      <c r="M240" s="1">
        <v>265574.17</v>
      </c>
      <c r="N240">
        <v>1</v>
      </c>
      <c r="O240">
        <v>1</v>
      </c>
      <c r="P240">
        <v>91.25</v>
      </c>
      <c r="Q240">
        <v>0</v>
      </c>
      <c r="R240" s="2">
        <v>1</v>
      </c>
      <c r="S240">
        <v>0</v>
      </c>
      <c r="T240">
        <v>0</v>
      </c>
    </row>
    <row r="241" spans="1:20" x14ac:dyDescent="0.2">
      <c r="A241" t="s">
        <v>51</v>
      </c>
      <c r="B241" t="s">
        <v>21</v>
      </c>
      <c r="C241" t="s">
        <v>1426</v>
      </c>
      <c r="D241" t="s">
        <v>1427</v>
      </c>
      <c r="E241" t="s">
        <v>42</v>
      </c>
      <c r="F241" t="s">
        <v>25</v>
      </c>
      <c r="G241" t="s">
        <v>43</v>
      </c>
      <c r="H241" t="s">
        <v>1410</v>
      </c>
      <c r="I241" t="s">
        <v>341</v>
      </c>
      <c r="J241" t="s">
        <v>45</v>
      </c>
      <c r="K241" t="s">
        <v>46</v>
      </c>
      <c r="L241" t="s">
        <v>556</v>
      </c>
      <c r="M241" s="1">
        <v>0</v>
      </c>
      <c r="N241">
        <v>0</v>
      </c>
      <c r="O241">
        <v>0</v>
      </c>
      <c r="P241">
        <v>91.25</v>
      </c>
      <c r="Q241">
        <v>1</v>
      </c>
      <c r="R241" s="2">
        <v>0</v>
      </c>
      <c r="S241">
        <v>0</v>
      </c>
      <c r="T241">
        <v>0</v>
      </c>
    </row>
    <row r="242" spans="1:20" x14ac:dyDescent="0.2">
      <c r="A242" t="s">
        <v>47</v>
      </c>
      <c r="B242" t="s">
        <v>21</v>
      </c>
      <c r="C242" t="s">
        <v>1430</v>
      </c>
      <c r="D242" t="s">
        <v>1431</v>
      </c>
      <c r="E242" t="s">
        <v>42</v>
      </c>
      <c r="F242" t="s">
        <v>25</v>
      </c>
      <c r="G242" t="s">
        <v>43</v>
      </c>
      <c r="H242" t="s">
        <v>1410</v>
      </c>
      <c r="I242" t="s">
        <v>341</v>
      </c>
      <c r="J242" t="s">
        <v>45</v>
      </c>
      <c r="K242" t="s">
        <v>46</v>
      </c>
      <c r="L242" t="s">
        <v>556</v>
      </c>
      <c r="M242" s="1">
        <v>0</v>
      </c>
      <c r="N242">
        <v>0</v>
      </c>
      <c r="O242">
        <v>0</v>
      </c>
      <c r="P242">
        <v>91.25</v>
      </c>
      <c r="Q242">
        <v>1</v>
      </c>
      <c r="R242" s="2">
        <v>0</v>
      </c>
      <c r="S242">
        <v>0</v>
      </c>
      <c r="T242">
        <v>0</v>
      </c>
    </row>
    <row r="243" spans="1:20" x14ac:dyDescent="0.2">
      <c r="A243" t="s">
        <v>361</v>
      </c>
      <c r="B243" t="s">
        <v>21</v>
      </c>
      <c r="C243" t="s">
        <v>1433</v>
      </c>
      <c r="D243" t="s">
        <v>1434</v>
      </c>
      <c r="E243" t="s">
        <v>42</v>
      </c>
      <c r="F243" t="s">
        <v>25</v>
      </c>
      <c r="G243" t="s">
        <v>43</v>
      </c>
      <c r="H243" t="s">
        <v>1410</v>
      </c>
      <c r="I243" t="s">
        <v>341</v>
      </c>
      <c r="J243" t="s">
        <v>45</v>
      </c>
      <c r="K243" t="s">
        <v>46</v>
      </c>
      <c r="L243" t="s">
        <v>556</v>
      </c>
      <c r="M243" s="1">
        <v>0</v>
      </c>
      <c r="N243">
        <v>0</v>
      </c>
      <c r="O243">
        <v>0</v>
      </c>
      <c r="P243">
        <v>91.25</v>
      </c>
      <c r="Q243">
        <v>1</v>
      </c>
      <c r="R243" s="2">
        <v>0</v>
      </c>
      <c r="S243">
        <v>0</v>
      </c>
      <c r="T243">
        <v>0</v>
      </c>
    </row>
    <row r="244" spans="1:20" x14ac:dyDescent="0.2">
      <c r="A244" t="s">
        <v>392</v>
      </c>
      <c r="B244" t="s">
        <v>21</v>
      </c>
      <c r="C244" t="s">
        <v>1437</v>
      </c>
      <c r="D244" t="s">
        <v>1438</v>
      </c>
      <c r="E244" t="s">
        <v>42</v>
      </c>
      <c r="F244" t="s">
        <v>25</v>
      </c>
      <c r="G244" t="s">
        <v>43</v>
      </c>
      <c r="H244" t="s">
        <v>1410</v>
      </c>
      <c r="I244" t="s">
        <v>341</v>
      </c>
      <c r="J244" t="s">
        <v>45</v>
      </c>
      <c r="K244" t="s">
        <v>46</v>
      </c>
      <c r="L244" t="s">
        <v>556</v>
      </c>
      <c r="M244" s="1">
        <v>0</v>
      </c>
      <c r="N244">
        <v>0</v>
      </c>
      <c r="O244">
        <v>0</v>
      </c>
      <c r="P244">
        <v>91.25</v>
      </c>
      <c r="Q244">
        <v>1</v>
      </c>
      <c r="R244" s="2">
        <v>0</v>
      </c>
      <c r="S244">
        <v>0</v>
      </c>
      <c r="T244">
        <v>0</v>
      </c>
    </row>
    <row r="245" spans="1:20" x14ac:dyDescent="0.2">
      <c r="A245" t="s">
        <v>32</v>
      </c>
      <c r="B245" t="s">
        <v>21</v>
      </c>
      <c r="C245" t="s">
        <v>1439</v>
      </c>
      <c r="D245" t="s">
        <v>1440</v>
      </c>
      <c r="E245" t="s">
        <v>42</v>
      </c>
      <c r="F245" t="s">
        <v>25</v>
      </c>
      <c r="G245" t="s">
        <v>43</v>
      </c>
      <c r="H245" t="s">
        <v>1410</v>
      </c>
      <c r="I245" t="s">
        <v>341</v>
      </c>
      <c r="J245" t="s">
        <v>45</v>
      </c>
      <c r="K245" t="s">
        <v>46</v>
      </c>
      <c r="L245" t="s">
        <v>556</v>
      </c>
      <c r="M245" s="1">
        <v>0</v>
      </c>
      <c r="N245">
        <v>0</v>
      </c>
      <c r="O245">
        <v>0</v>
      </c>
      <c r="P245">
        <v>91.25</v>
      </c>
      <c r="Q245">
        <v>1</v>
      </c>
      <c r="R245" s="2">
        <v>0</v>
      </c>
      <c r="S245">
        <v>0</v>
      </c>
      <c r="T245">
        <v>0</v>
      </c>
    </row>
    <row r="246" spans="1:20" x14ac:dyDescent="0.2">
      <c r="A246" t="s">
        <v>32</v>
      </c>
      <c r="B246" t="s">
        <v>21</v>
      </c>
      <c r="C246" t="s">
        <v>1441</v>
      </c>
      <c r="D246" t="s">
        <v>1442</v>
      </c>
      <c r="E246" t="s">
        <v>42</v>
      </c>
      <c r="F246" t="s">
        <v>25</v>
      </c>
      <c r="G246" t="s">
        <v>43</v>
      </c>
      <c r="H246" t="s">
        <v>1410</v>
      </c>
      <c r="I246" t="s">
        <v>341</v>
      </c>
      <c r="J246" t="s">
        <v>45</v>
      </c>
      <c r="K246" t="s">
        <v>46</v>
      </c>
      <c r="L246" t="s">
        <v>556</v>
      </c>
      <c r="M246" s="1">
        <v>0</v>
      </c>
      <c r="N246">
        <v>0</v>
      </c>
      <c r="O246">
        <v>0</v>
      </c>
      <c r="P246">
        <v>91.25</v>
      </c>
      <c r="Q246">
        <v>1</v>
      </c>
      <c r="R246" s="2">
        <v>0</v>
      </c>
      <c r="S246">
        <v>0</v>
      </c>
      <c r="T246">
        <v>0</v>
      </c>
    </row>
    <row r="247" spans="1:20" x14ac:dyDescent="0.2">
      <c r="A247" t="s">
        <v>32</v>
      </c>
      <c r="B247" t="s">
        <v>21</v>
      </c>
      <c r="C247" t="s">
        <v>1443</v>
      </c>
      <c r="D247" t="s">
        <v>1088</v>
      </c>
      <c r="E247" t="s">
        <v>42</v>
      </c>
      <c r="F247" t="s">
        <v>25</v>
      </c>
      <c r="G247" t="s">
        <v>43</v>
      </c>
      <c r="H247" t="s">
        <v>1410</v>
      </c>
      <c r="I247" t="s">
        <v>341</v>
      </c>
      <c r="J247" t="s">
        <v>45</v>
      </c>
      <c r="K247" t="s">
        <v>46</v>
      </c>
      <c r="L247" t="s">
        <v>556</v>
      </c>
      <c r="M247" s="1">
        <v>0</v>
      </c>
      <c r="N247">
        <v>0</v>
      </c>
      <c r="O247">
        <v>0</v>
      </c>
      <c r="P247">
        <v>91.25</v>
      </c>
      <c r="Q247">
        <v>1</v>
      </c>
      <c r="R247" s="2">
        <v>0</v>
      </c>
      <c r="S247">
        <v>0</v>
      </c>
      <c r="T247">
        <v>0</v>
      </c>
    </row>
    <row r="248" spans="1:20" x14ac:dyDescent="0.2">
      <c r="A248" t="s">
        <v>79</v>
      </c>
      <c r="B248" t="s">
        <v>21</v>
      </c>
      <c r="C248" t="s">
        <v>1444</v>
      </c>
      <c r="D248" t="s">
        <v>1445</v>
      </c>
      <c r="E248" t="s">
        <v>42</v>
      </c>
      <c r="F248" t="s">
        <v>25</v>
      </c>
      <c r="G248" t="s">
        <v>43</v>
      </c>
      <c r="H248" t="s">
        <v>1410</v>
      </c>
      <c r="I248" t="s">
        <v>341</v>
      </c>
      <c r="J248" t="s">
        <v>45</v>
      </c>
      <c r="K248" t="s">
        <v>46</v>
      </c>
      <c r="L248" t="s">
        <v>556</v>
      </c>
      <c r="M248" s="1">
        <v>0</v>
      </c>
      <c r="N248">
        <v>0</v>
      </c>
      <c r="O248">
        <v>0</v>
      </c>
      <c r="P248">
        <v>91.25</v>
      </c>
      <c r="Q248">
        <v>1</v>
      </c>
      <c r="R248" s="2">
        <v>0</v>
      </c>
      <c r="S248">
        <v>0</v>
      </c>
      <c r="T248">
        <v>0</v>
      </c>
    </row>
    <row r="249" spans="1:20" x14ac:dyDescent="0.2">
      <c r="A249" t="s">
        <v>157</v>
      </c>
      <c r="B249" t="s">
        <v>158</v>
      </c>
      <c r="C249" t="s">
        <v>1502</v>
      </c>
      <c r="D249" t="s">
        <v>1503</v>
      </c>
      <c r="E249" t="s">
        <v>42</v>
      </c>
      <c r="F249" t="s">
        <v>25</v>
      </c>
      <c r="G249" t="s">
        <v>43</v>
      </c>
      <c r="H249" t="s">
        <v>1410</v>
      </c>
      <c r="I249" t="s">
        <v>341</v>
      </c>
      <c r="J249" t="s">
        <v>45</v>
      </c>
      <c r="K249" t="s">
        <v>46</v>
      </c>
      <c r="L249" t="s">
        <v>556</v>
      </c>
      <c r="M249" s="1">
        <v>0</v>
      </c>
      <c r="N249">
        <v>0</v>
      </c>
      <c r="O249">
        <v>0</v>
      </c>
      <c r="P249">
        <v>91.25</v>
      </c>
      <c r="Q249">
        <v>1</v>
      </c>
      <c r="R249" s="2">
        <v>0</v>
      </c>
      <c r="S249">
        <v>0</v>
      </c>
      <c r="T249">
        <v>0</v>
      </c>
    </row>
    <row r="250" spans="1:20" x14ac:dyDescent="0.2">
      <c r="A250" t="s">
        <v>157</v>
      </c>
      <c r="B250" t="s">
        <v>158</v>
      </c>
      <c r="C250" t="s">
        <v>1504</v>
      </c>
      <c r="D250" t="s">
        <v>1505</v>
      </c>
      <c r="E250" t="s">
        <v>42</v>
      </c>
      <c r="F250" t="s">
        <v>25</v>
      </c>
      <c r="G250" t="s">
        <v>43</v>
      </c>
      <c r="H250" t="s">
        <v>1410</v>
      </c>
      <c r="I250" t="s">
        <v>341</v>
      </c>
      <c r="J250" t="s">
        <v>45</v>
      </c>
      <c r="K250" t="s">
        <v>46</v>
      </c>
      <c r="L250" t="s">
        <v>556</v>
      </c>
      <c r="M250" s="1">
        <v>0</v>
      </c>
      <c r="N250">
        <v>0</v>
      </c>
      <c r="O250">
        <v>0</v>
      </c>
      <c r="P250">
        <v>91.25</v>
      </c>
      <c r="Q250">
        <v>1</v>
      </c>
      <c r="R250" s="2">
        <v>0</v>
      </c>
      <c r="S250">
        <v>0</v>
      </c>
      <c r="T250">
        <v>0</v>
      </c>
    </row>
    <row r="251" spans="1:20" x14ac:dyDescent="0.2">
      <c r="A251" t="s">
        <v>1506</v>
      </c>
      <c r="B251" t="s">
        <v>158</v>
      </c>
      <c r="C251" t="s">
        <v>1507</v>
      </c>
      <c r="D251" t="s">
        <v>1508</v>
      </c>
      <c r="E251" t="s">
        <v>42</v>
      </c>
      <c r="F251" t="s">
        <v>25</v>
      </c>
      <c r="G251" t="s">
        <v>43</v>
      </c>
      <c r="H251" t="s">
        <v>1410</v>
      </c>
      <c r="I251" t="s">
        <v>341</v>
      </c>
      <c r="J251" t="s">
        <v>45</v>
      </c>
      <c r="K251" t="s">
        <v>46</v>
      </c>
      <c r="L251" t="s">
        <v>556</v>
      </c>
      <c r="M251" s="1">
        <v>0</v>
      </c>
      <c r="N251">
        <v>0</v>
      </c>
      <c r="O251">
        <v>0</v>
      </c>
      <c r="P251">
        <v>91.25</v>
      </c>
      <c r="Q251">
        <v>1</v>
      </c>
      <c r="R251" s="2">
        <v>0</v>
      </c>
      <c r="S251">
        <v>0</v>
      </c>
      <c r="T251">
        <v>0</v>
      </c>
    </row>
    <row r="252" spans="1:20" x14ac:dyDescent="0.2">
      <c r="A252" t="s">
        <v>1252</v>
      </c>
      <c r="B252" t="s">
        <v>158</v>
      </c>
      <c r="C252" t="s">
        <v>1511</v>
      </c>
      <c r="D252" t="s">
        <v>1512</v>
      </c>
      <c r="E252" t="s">
        <v>42</v>
      </c>
      <c r="F252" t="s">
        <v>25</v>
      </c>
      <c r="G252" t="s">
        <v>43</v>
      </c>
      <c r="H252" t="s">
        <v>1410</v>
      </c>
      <c r="I252" t="s">
        <v>341</v>
      </c>
      <c r="J252" t="s">
        <v>45</v>
      </c>
      <c r="K252" t="s">
        <v>46</v>
      </c>
      <c r="L252" t="s">
        <v>556</v>
      </c>
      <c r="M252" s="1">
        <v>0</v>
      </c>
      <c r="N252">
        <v>0</v>
      </c>
      <c r="O252">
        <v>0</v>
      </c>
      <c r="P252">
        <v>91.25</v>
      </c>
      <c r="Q252">
        <v>1</v>
      </c>
      <c r="R252" s="2">
        <v>0</v>
      </c>
      <c r="S252">
        <v>0</v>
      </c>
      <c r="T252">
        <v>0</v>
      </c>
    </row>
    <row r="253" spans="1:20" x14ac:dyDescent="0.2">
      <c r="A253" t="s">
        <v>443</v>
      </c>
      <c r="B253" t="s">
        <v>158</v>
      </c>
      <c r="C253" t="s">
        <v>1515</v>
      </c>
      <c r="D253" t="s">
        <v>1516</v>
      </c>
      <c r="E253" t="s">
        <v>42</v>
      </c>
      <c r="F253" t="s">
        <v>25</v>
      </c>
      <c r="G253" t="s">
        <v>43</v>
      </c>
      <c r="H253" t="s">
        <v>1410</v>
      </c>
      <c r="I253" t="s">
        <v>341</v>
      </c>
      <c r="J253" t="s">
        <v>45</v>
      </c>
      <c r="K253" t="s">
        <v>46</v>
      </c>
      <c r="L253" t="s">
        <v>556</v>
      </c>
      <c r="M253" s="1">
        <v>0</v>
      </c>
      <c r="N253">
        <v>0</v>
      </c>
      <c r="O253">
        <v>0</v>
      </c>
      <c r="P253">
        <v>91.25</v>
      </c>
      <c r="Q253">
        <v>1</v>
      </c>
      <c r="R253" s="2">
        <v>0</v>
      </c>
      <c r="S253">
        <v>0</v>
      </c>
      <c r="T253">
        <v>0</v>
      </c>
    </row>
    <row r="254" spans="1:20" x14ac:dyDescent="0.2">
      <c r="A254" t="s">
        <v>443</v>
      </c>
      <c r="B254" t="s">
        <v>158</v>
      </c>
      <c r="C254" t="s">
        <v>1517</v>
      </c>
      <c r="D254" t="s">
        <v>1518</v>
      </c>
      <c r="E254" t="s">
        <v>42</v>
      </c>
      <c r="F254" t="s">
        <v>25</v>
      </c>
      <c r="G254" t="s">
        <v>43</v>
      </c>
      <c r="H254" t="s">
        <v>1410</v>
      </c>
      <c r="I254" t="s">
        <v>341</v>
      </c>
      <c r="J254" t="s">
        <v>45</v>
      </c>
      <c r="K254" t="s">
        <v>46</v>
      </c>
      <c r="L254" t="s">
        <v>556</v>
      </c>
      <c r="M254" s="1">
        <v>0</v>
      </c>
      <c r="N254">
        <v>0</v>
      </c>
      <c r="O254">
        <v>0</v>
      </c>
      <c r="P254">
        <v>91.25</v>
      </c>
      <c r="Q254">
        <v>1</v>
      </c>
      <c r="R254" s="2">
        <v>0</v>
      </c>
      <c r="S254">
        <v>0</v>
      </c>
      <c r="T254">
        <v>0</v>
      </c>
    </row>
    <row r="255" spans="1:20" x14ac:dyDescent="0.2">
      <c r="A255" t="s">
        <v>443</v>
      </c>
      <c r="B255" t="s">
        <v>158</v>
      </c>
      <c r="C255" t="s">
        <v>1519</v>
      </c>
      <c r="D255" t="s">
        <v>1520</v>
      </c>
      <c r="E255" t="s">
        <v>42</v>
      </c>
      <c r="F255" t="s">
        <v>25</v>
      </c>
      <c r="G255" t="s">
        <v>43</v>
      </c>
      <c r="H255" t="s">
        <v>1410</v>
      </c>
      <c r="I255" t="s">
        <v>341</v>
      </c>
      <c r="J255" t="s">
        <v>45</v>
      </c>
      <c r="K255" t="s">
        <v>46</v>
      </c>
      <c r="L255" t="s">
        <v>556</v>
      </c>
      <c r="M255" s="1">
        <v>0</v>
      </c>
      <c r="N255">
        <v>0</v>
      </c>
      <c r="O255">
        <v>0</v>
      </c>
      <c r="P255">
        <v>91.25</v>
      </c>
      <c r="Q255">
        <v>1</v>
      </c>
      <c r="R255" s="2">
        <v>0</v>
      </c>
      <c r="S255">
        <v>0</v>
      </c>
      <c r="T255">
        <v>0</v>
      </c>
    </row>
    <row r="256" spans="1:20" x14ac:dyDescent="0.2">
      <c r="A256" t="s">
        <v>20</v>
      </c>
      <c r="B256" t="s">
        <v>250</v>
      </c>
      <c r="C256" t="s">
        <v>1552</v>
      </c>
      <c r="D256" t="s">
        <v>1553</v>
      </c>
      <c r="E256" t="s">
        <v>42</v>
      </c>
      <c r="F256" t="s">
        <v>25</v>
      </c>
      <c r="G256" t="s">
        <v>43</v>
      </c>
      <c r="H256" t="s">
        <v>1410</v>
      </c>
      <c r="I256" t="s">
        <v>341</v>
      </c>
      <c r="J256" t="s">
        <v>45</v>
      </c>
      <c r="K256" t="s">
        <v>46</v>
      </c>
      <c r="L256" t="s">
        <v>556</v>
      </c>
      <c r="M256" s="1">
        <v>0</v>
      </c>
      <c r="N256">
        <v>0</v>
      </c>
      <c r="O256">
        <v>0</v>
      </c>
      <c r="P256">
        <v>91.25</v>
      </c>
      <c r="Q256">
        <v>1</v>
      </c>
      <c r="R256" s="2">
        <v>0</v>
      </c>
      <c r="S256">
        <v>0</v>
      </c>
      <c r="T256">
        <v>0</v>
      </c>
    </row>
    <row r="257" spans="1:20" x14ac:dyDescent="0.2">
      <c r="A257" t="s">
        <v>1561</v>
      </c>
      <c r="B257" t="s">
        <v>262</v>
      </c>
      <c r="C257" t="s">
        <v>1562</v>
      </c>
      <c r="D257" t="s">
        <v>1563</v>
      </c>
      <c r="E257" t="s">
        <v>42</v>
      </c>
      <c r="F257" t="s">
        <v>25</v>
      </c>
      <c r="G257" t="s">
        <v>43</v>
      </c>
      <c r="H257" t="s">
        <v>1410</v>
      </c>
      <c r="I257" t="s">
        <v>341</v>
      </c>
      <c r="J257" t="s">
        <v>45</v>
      </c>
      <c r="K257" t="s">
        <v>46</v>
      </c>
      <c r="L257" t="s">
        <v>556</v>
      </c>
      <c r="M257" s="1">
        <v>0</v>
      </c>
      <c r="N257">
        <v>0</v>
      </c>
      <c r="O257">
        <v>0</v>
      </c>
      <c r="P257">
        <v>91.25</v>
      </c>
      <c r="Q257">
        <v>1</v>
      </c>
      <c r="R257" s="2">
        <v>0</v>
      </c>
      <c r="S257">
        <v>0</v>
      </c>
      <c r="T257">
        <v>0</v>
      </c>
    </row>
    <row r="258" spans="1:20" x14ac:dyDescent="0.2">
      <c r="A258" t="s">
        <v>112</v>
      </c>
      <c r="B258" t="s">
        <v>21</v>
      </c>
      <c r="C258" t="s">
        <v>336</v>
      </c>
      <c r="D258" t="s">
        <v>337</v>
      </c>
      <c r="E258" t="s">
        <v>42</v>
      </c>
      <c r="F258" t="s">
        <v>25</v>
      </c>
      <c r="G258" t="s">
        <v>43</v>
      </c>
      <c r="H258" t="s">
        <v>319</v>
      </c>
      <c r="I258" t="s">
        <v>338</v>
      </c>
      <c r="J258" t="s">
        <v>29</v>
      </c>
      <c r="K258" t="s">
        <v>46</v>
      </c>
      <c r="L258" t="s">
        <v>38</v>
      </c>
      <c r="M258" s="1">
        <v>0</v>
      </c>
      <c r="N258">
        <v>0</v>
      </c>
      <c r="O258">
        <v>0</v>
      </c>
      <c r="P258">
        <v>91.25</v>
      </c>
      <c r="Q258">
        <v>0</v>
      </c>
      <c r="R258" s="2">
        <v>0</v>
      </c>
      <c r="S258">
        <v>1</v>
      </c>
      <c r="T258">
        <v>1</v>
      </c>
    </row>
    <row r="259" spans="1:20" x14ac:dyDescent="0.2">
      <c r="A259" t="s">
        <v>112</v>
      </c>
      <c r="B259" t="s">
        <v>21</v>
      </c>
      <c r="C259" t="s">
        <v>407</v>
      </c>
      <c r="D259" t="s">
        <v>332</v>
      </c>
      <c r="E259" t="s">
        <v>42</v>
      </c>
      <c r="F259" t="s">
        <v>25</v>
      </c>
      <c r="G259" t="s">
        <v>43</v>
      </c>
      <c r="H259" t="s">
        <v>319</v>
      </c>
      <c r="I259" t="s">
        <v>338</v>
      </c>
      <c r="J259" t="s">
        <v>29</v>
      </c>
      <c r="K259" t="s">
        <v>46</v>
      </c>
      <c r="L259" t="s">
        <v>38</v>
      </c>
      <c r="M259" s="1">
        <v>0</v>
      </c>
      <c r="N259">
        <v>0</v>
      </c>
      <c r="O259">
        <v>0</v>
      </c>
      <c r="P259">
        <v>91.25</v>
      </c>
      <c r="Q259">
        <v>0</v>
      </c>
      <c r="R259" s="2">
        <v>0</v>
      </c>
      <c r="S259">
        <v>1</v>
      </c>
      <c r="T259">
        <v>1</v>
      </c>
    </row>
    <row r="260" spans="1:20" x14ac:dyDescent="0.2">
      <c r="A260" t="s">
        <v>47</v>
      </c>
      <c r="B260" t="s">
        <v>21</v>
      </c>
      <c r="C260" t="s">
        <v>412</v>
      </c>
      <c r="D260" t="s">
        <v>413</v>
      </c>
      <c r="E260" t="s">
        <v>42</v>
      </c>
      <c r="F260" t="s">
        <v>25</v>
      </c>
      <c r="G260" t="s">
        <v>43</v>
      </c>
      <c r="H260" t="s">
        <v>319</v>
      </c>
      <c r="I260" t="s">
        <v>338</v>
      </c>
      <c r="J260" t="s">
        <v>29</v>
      </c>
      <c r="K260" t="s">
        <v>46</v>
      </c>
      <c r="L260" t="s">
        <v>31</v>
      </c>
      <c r="M260" s="1">
        <v>0</v>
      </c>
      <c r="N260">
        <v>1</v>
      </c>
      <c r="O260">
        <v>1</v>
      </c>
      <c r="P260">
        <v>91.25</v>
      </c>
      <c r="Q260">
        <v>0</v>
      </c>
      <c r="R260" s="2">
        <v>1</v>
      </c>
      <c r="S260">
        <v>0</v>
      </c>
      <c r="T260">
        <v>0</v>
      </c>
    </row>
    <row r="261" spans="1:20" x14ac:dyDescent="0.2">
      <c r="A261" t="s">
        <v>438</v>
      </c>
      <c r="B261" t="s">
        <v>158</v>
      </c>
      <c r="C261" t="s">
        <v>459</v>
      </c>
      <c r="D261" t="s">
        <v>460</v>
      </c>
      <c r="E261" t="s">
        <v>42</v>
      </c>
      <c r="F261" t="s">
        <v>25</v>
      </c>
      <c r="G261" t="s">
        <v>43</v>
      </c>
      <c r="H261" t="s">
        <v>319</v>
      </c>
      <c r="I261" t="s">
        <v>338</v>
      </c>
      <c r="J261" t="s">
        <v>29</v>
      </c>
      <c r="K261" t="s">
        <v>46</v>
      </c>
      <c r="L261" t="s">
        <v>38</v>
      </c>
      <c r="M261" s="1">
        <v>0</v>
      </c>
      <c r="N261">
        <v>0</v>
      </c>
      <c r="O261">
        <v>0</v>
      </c>
      <c r="P261">
        <v>91.25</v>
      </c>
      <c r="Q261">
        <v>0</v>
      </c>
      <c r="R261" s="2">
        <v>0</v>
      </c>
      <c r="S261">
        <v>1</v>
      </c>
      <c r="T261">
        <v>1</v>
      </c>
    </row>
    <row r="262" spans="1:20" x14ac:dyDescent="0.2">
      <c r="A262" t="s">
        <v>461</v>
      </c>
      <c r="B262" t="s">
        <v>158</v>
      </c>
      <c r="C262" t="s">
        <v>462</v>
      </c>
      <c r="D262" t="s">
        <v>463</v>
      </c>
      <c r="E262" t="s">
        <v>42</v>
      </c>
      <c r="F262" t="s">
        <v>25</v>
      </c>
      <c r="G262" t="s">
        <v>43</v>
      </c>
      <c r="H262" t="s">
        <v>319</v>
      </c>
      <c r="I262" t="s">
        <v>338</v>
      </c>
      <c r="J262" t="s">
        <v>29</v>
      </c>
      <c r="K262" t="s">
        <v>46</v>
      </c>
      <c r="L262" t="s">
        <v>31</v>
      </c>
      <c r="M262" s="1">
        <v>0</v>
      </c>
      <c r="N262">
        <v>1</v>
      </c>
      <c r="O262">
        <v>1</v>
      </c>
      <c r="P262">
        <v>91.25</v>
      </c>
      <c r="Q262">
        <v>0</v>
      </c>
      <c r="R262" s="2">
        <v>1</v>
      </c>
      <c r="S262">
        <v>0</v>
      </c>
      <c r="T262">
        <v>0</v>
      </c>
    </row>
    <row r="263" spans="1:20" x14ac:dyDescent="0.2">
      <c r="A263" t="s">
        <v>175</v>
      </c>
      <c r="B263" t="s">
        <v>158</v>
      </c>
      <c r="C263" t="s">
        <v>464</v>
      </c>
      <c r="D263" t="s">
        <v>465</v>
      </c>
      <c r="E263" t="s">
        <v>42</v>
      </c>
      <c r="F263" t="s">
        <v>25</v>
      </c>
      <c r="G263" t="s">
        <v>43</v>
      </c>
      <c r="H263" t="s">
        <v>319</v>
      </c>
      <c r="I263" t="s">
        <v>338</v>
      </c>
      <c r="J263" t="s">
        <v>29</v>
      </c>
      <c r="K263" t="s">
        <v>46</v>
      </c>
      <c r="L263" t="s">
        <v>38</v>
      </c>
      <c r="M263" s="1">
        <v>0</v>
      </c>
      <c r="N263">
        <v>0</v>
      </c>
      <c r="O263">
        <v>0</v>
      </c>
      <c r="P263">
        <v>91.25</v>
      </c>
      <c r="Q263">
        <v>0</v>
      </c>
      <c r="R263" s="2">
        <v>0</v>
      </c>
      <c r="S263">
        <v>1</v>
      </c>
      <c r="T263">
        <v>1</v>
      </c>
    </row>
    <row r="264" spans="1:20" x14ac:dyDescent="0.2">
      <c r="A264" t="s">
        <v>473</v>
      </c>
      <c r="B264" t="s">
        <v>158</v>
      </c>
      <c r="C264" t="s">
        <v>474</v>
      </c>
      <c r="D264" t="s">
        <v>475</v>
      </c>
      <c r="E264" t="s">
        <v>42</v>
      </c>
      <c r="F264" t="s">
        <v>25</v>
      </c>
      <c r="G264" t="s">
        <v>43</v>
      </c>
      <c r="H264" t="s">
        <v>319</v>
      </c>
      <c r="I264" t="s">
        <v>338</v>
      </c>
      <c r="J264" t="s">
        <v>29</v>
      </c>
      <c r="K264" t="s">
        <v>46</v>
      </c>
      <c r="L264" t="s">
        <v>31</v>
      </c>
      <c r="M264" s="1">
        <v>0</v>
      </c>
      <c r="N264">
        <v>1</v>
      </c>
      <c r="O264">
        <v>1</v>
      </c>
      <c r="P264">
        <v>91.25</v>
      </c>
      <c r="Q264">
        <v>0</v>
      </c>
      <c r="R264" s="2">
        <v>1</v>
      </c>
      <c r="S264">
        <v>0</v>
      </c>
      <c r="T264">
        <v>0</v>
      </c>
    </row>
    <row r="265" spans="1:20" x14ac:dyDescent="0.2">
      <c r="A265" t="s">
        <v>237</v>
      </c>
      <c r="B265" t="s">
        <v>158</v>
      </c>
      <c r="C265" t="s">
        <v>486</v>
      </c>
      <c r="D265" t="s">
        <v>487</v>
      </c>
      <c r="E265" t="s">
        <v>42</v>
      </c>
      <c r="F265" t="s">
        <v>25</v>
      </c>
      <c r="G265" t="s">
        <v>43</v>
      </c>
      <c r="H265" t="s">
        <v>319</v>
      </c>
      <c r="I265" t="s">
        <v>338</v>
      </c>
      <c r="J265" t="s">
        <v>29</v>
      </c>
      <c r="K265" t="s">
        <v>46</v>
      </c>
      <c r="L265" t="s">
        <v>31</v>
      </c>
      <c r="M265" s="1">
        <v>0</v>
      </c>
      <c r="N265">
        <v>1</v>
      </c>
      <c r="O265">
        <v>1</v>
      </c>
      <c r="P265">
        <v>91.25</v>
      </c>
      <c r="Q265">
        <v>0</v>
      </c>
      <c r="R265" s="2">
        <v>1</v>
      </c>
      <c r="S265">
        <v>0</v>
      </c>
      <c r="T265">
        <v>0</v>
      </c>
    </row>
    <row r="266" spans="1:20" x14ac:dyDescent="0.2">
      <c r="A266" t="s">
        <v>157</v>
      </c>
      <c r="B266" t="s">
        <v>158</v>
      </c>
      <c r="C266" t="s">
        <v>488</v>
      </c>
      <c r="D266" t="s">
        <v>489</v>
      </c>
      <c r="E266" t="s">
        <v>42</v>
      </c>
      <c r="F266" t="s">
        <v>25</v>
      </c>
      <c r="G266" t="s">
        <v>43</v>
      </c>
      <c r="H266" t="s">
        <v>319</v>
      </c>
      <c r="I266" t="s">
        <v>338</v>
      </c>
      <c r="J266" t="s">
        <v>29</v>
      </c>
      <c r="K266" t="s">
        <v>46</v>
      </c>
      <c r="L266" t="s">
        <v>31</v>
      </c>
      <c r="M266" s="1">
        <v>0</v>
      </c>
      <c r="N266">
        <v>1</v>
      </c>
      <c r="O266">
        <v>1</v>
      </c>
      <c r="P266">
        <v>91.25</v>
      </c>
      <c r="Q266">
        <v>0</v>
      </c>
      <c r="R266" s="2">
        <v>1</v>
      </c>
      <c r="S266">
        <v>0</v>
      </c>
      <c r="T266">
        <v>0</v>
      </c>
    </row>
    <row r="267" spans="1:20" x14ac:dyDescent="0.2">
      <c r="A267" t="s">
        <v>265</v>
      </c>
      <c r="B267" t="s">
        <v>262</v>
      </c>
      <c r="C267" t="s">
        <v>514</v>
      </c>
      <c r="D267" t="s">
        <v>515</v>
      </c>
      <c r="E267" t="s">
        <v>42</v>
      </c>
      <c r="F267" t="s">
        <v>25</v>
      </c>
      <c r="G267" t="s">
        <v>43</v>
      </c>
      <c r="H267" t="s">
        <v>319</v>
      </c>
      <c r="I267" t="s">
        <v>338</v>
      </c>
      <c r="J267" t="s">
        <v>29</v>
      </c>
      <c r="K267" t="s">
        <v>46</v>
      </c>
      <c r="L267" t="s">
        <v>38</v>
      </c>
      <c r="M267" s="1">
        <v>0</v>
      </c>
      <c r="N267">
        <v>0</v>
      </c>
      <c r="O267">
        <v>0</v>
      </c>
      <c r="P267">
        <v>91.25</v>
      </c>
      <c r="Q267">
        <v>0</v>
      </c>
      <c r="R267" s="2">
        <v>0</v>
      </c>
      <c r="S267">
        <v>1</v>
      </c>
      <c r="T267">
        <v>1</v>
      </c>
    </row>
    <row r="268" spans="1:20" x14ac:dyDescent="0.2">
      <c r="A268" t="s">
        <v>299</v>
      </c>
      <c r="B268" t="s">
        <v>262</v>
      </c>
      <c r="C268" t="s">
        <v>526</v>
      </c>
      <c r="D268" t="s">
        <v>527</v>
      </c>
      <c r="E268" t="s">
        <v>42</v>
      </c>
      <c r="F268" t="s">
        <v>25</v>
      </c>
      <c r="G268" t="s">
        <v>43</v>
      </c>
      <c r="H268" t="s">
        <v>319</v>
      </c>
      <c r="I268" t="s">
        <v>338</v>
      </c>
      <c r="J268" t="s">
        <v>29</v>
      </c>
      <c r="K268" t="s">
        <v>46</v>
      </c>
      <c r="L268" t="s">
        <v>38</v>
      </c>
      <c r="M268" s="1">
        <v>0</v>
      </c>
      <c r="N268">
        <v>0</v>
      </c>
      <c r="O268">
        <v>0</v>
      </c>
      <c r="P268">
        <v>91.25</v>
      </c>
      <c r="Q268">
        <v>0</v>
      </c>
      <c r="R268" s="2">
        <v>0</v>
      </c>
      <c r="S268">
        <v>1</v>
      </c>
      <c r="T268">
        <v>1</v>
      </c>
    </row>
    <row r="269" spans="1:20" x14ac:dyDescent="0.2">
      <c r="A269" t="s">
        <v>32</v>
      </c>
      <c r="B269" t="s">
        <v>21</v>
      </c>
      <c r="C269" t="s">
        <v>611</v>
      </c>
      <c r="D269" t="s">
        <v>612</v>
      </c>
      <c r="E269" t="s">
        <v>42</v>
      </c>
      <c r="F269" t="s">
        <v>25</v>
      </c>
      <c r="G269" t="s">
        <v>43</v>
      </c>
      <c r="H269" t="s">
        <v>550</v>
      </c>
      <c r="I269" t="s">
        <v>338</v>
      </c>
      <c r="J269" t="s">
        <v>29</v>
      </c>
      <c r="K269" t="s">
        <v>46</v>
      </c>
      <c r="L269" t="s">
        <v>38</v>
      </c>
      <c r="M269" s="1">
        <v>0</v>
      </c>
      <c r="N269">
        <v>0</v>
      </c>
      <c r="O269">
        <v>0</v>
      </c>
      <c r="P269">
        <v>91.25</v>
      </c>
      <c r="Q269">
        <v>0</v>
      </c>
      <c r="R269" s="2">
        <v>0</v>
      </c>
      <c r="S269">
        <v>1</v>
      </c>
      <c r="T269">
        <v>1</v>
      </c>
    </row>
    <row r="270" spans="1:20" x14ac:dyDescent="0.2">
      <c r="A270" t="s">
        <v>237</v>
      </c>
      <c r="B270" t="s">
        <v>158</v>
      </c>
      <c r="C270" t="s">
        <v>629</v>
      </c>
      <c r="D270" t="s">
        <v>630</v>
      </c>
      <c r="E270" t="s">
        <v>42</v>
      </c>
      <c r="F270" t="s">
        <v>25</v>
      </c>
      <c r="G270" t="s">
        <v>43</v>
      </c>
      <c r="H270" t="s">
        <v>550</v>
      </c>
      <c r="I270" t="s">
        <v>338</v>
      </c>
      <c r="J270" t="s">
        <v>29</v>
      </c>
      <c r="K270" t="s">
        <v>30</v>
      </c>
      <c r="L270" t="s">
        <v>38</v>
      </c>
      <c r="M270" s="1">
        <v>0</v>
      </c>
      <c r="N270">
        <v>0</v>
      </c>
      <c r="O270">
        <v>0</v>
      </c>
      <c r="P270">
        <v>91.25</v>
      </c>
      <c r="Q270">
        <v>0</v>
      </c>
      <c r="R270" s="2">
        <v>0</v>
      </c>
      <c r="S270">
        <v>1</v>
      </c>
      <c r="T270">
        <v>1</v>
      </c>
    </row>
    <row r="271" spans="1:20" x14ac:dyDescent="0.2">
      <c r="A271" t="s">
        <v>222</v>
      </c>
      <c r="B271" t="s">
        <v>158</v>
      </c>
      <c r="C271" t="s">
        <v>655</v>
      </c>
      <c r="D271" t="s">
        <v>656</v>
      </c>
      <c r="E271" t="s">
        <v>42</v>
      </c>
      <c r="F271" t="s">
        <v>25</v>
      </c>
      <c r="G271" t="s">
        <v>43</v>
      </c>
      <c r="H271" t="s">
        <v>550</v>
      </c>
      <c r="I271" t="s">
        <v>338</v>
      </c>
      <c r="J271" t="s">
        <v>29</v>
      </c>
      <c r="K271" t="s">
        <v>46</v>
      </c>
      <c r="L271" t="s">
        <v>38</v>
      </c>
      <c r="M271" s="1">
        <v>0</v>
      </c>
      <c r="N271">
        <v>0</v>
      </c>
      <c r="O271">
        <v>0</v>
      </c>
      <c r="P271">
        <v>91.25</v>
      </c>
      <c r="Q271">
        <v>0</v>
      </c>
      <c r="R271" s="2">
        <v>0</v>
      </c>
      <c r="S271">
        <v>1</v>
      </c>
      <c r="T271">
        <v>1</v>
      </c>
    </row>
    <row r="272" spans="1:20" x14ac:dyDescent="0.2">
      <c r="A272" t="s">
        <v>175</v>
      </c>
      <c r="B272" t="s">
        <v>158</v>
      </c>
      <c r="C272" t="s">
        <v>657</v>
      </c>
      <c r="D272" t="s">
        <v>658</v>
      </c>
      <c r="E272" t="s">
        <v>42</v>
      </c>
      <c r="F272" t="s">
        <v>25</v>
      </c>
      <c r="G272" t="s">
        <v>43</v>
      </c>
      <c r="H272" t="s">
        <v>550</v>
      </c>
      <c r="I272" t="s">
        <v>338</v>
      </c>
      <c r="J272" t="s">
        <v>29</v>
      </c>
      <c r="K272" t="s">
        <v>46</v>
      </c>
      <c r="L272" t="s">
        <v>31</v>
      </c>
      <c r="M272" s="1">
        <v>0</v>
      </c>
      <c r="N272">
        <v>1</v>
      </c>
      <c r="O272">
        <v>1</v>
      </c>
      <c r="P272">
        <v>91.25</v>
      </c>
      <c r="Q272">
        <v>0</v>
      </c>
      <c r="R272" s="2">
        <v>1</v>
      </c>
      <c r="S272">
        <v>0</v>
      </c>
      <c r="T272">
        <v>0</v>
      </c>
    </row>
    <row r="273" spans="1:20" x14ac:dyDescent="0.2">
      <c r="A273" t="s">
        <v>175</v>
      </c>
      <c r="B273" t="s">
        <v>158</v>
      </c>
      <c r="C273" t="s">
        <v>659</v>
      </c>
      <c r="D273" t="s">
        <v>660</v>
      </c>
      <c r="E273" t="s">
        <v>42</v>
      </c>
      <c r="F273" t="s">
        <v>25</v>
      </c>
      <c r="G273" t="s">
        <v>43</v>
      </c>
      <c r="H273" t="s">
        <v>550</v>
      </c>
      <c r="I273" t="s">
        <v>338</v>
      </c>
      <c r="J273" t="s">
        <v>29</v>
      </c>
      <c r="K273" t="s">
        <v>46</v>
      </c>
      <c r="L273" t="s">
        <v>38</v>
      </c>
      <c r="M273" s="1">
        <v>0</v>
      </c>
      <c r="N273">
        <v>0</v>
      </c>
      <c r="O273">
        <v>0</v>
      </c>
      <c r="P273">
        <v>91.25</v>
      </c>
      <c r="Q273">
        <v>0</v>
      </c>
      <c r="R273" s="2">
        <v>0</v>
      </c>
      <c r="S273">
        <v>1</v>
      </c>
      <c r="T273">
        <v>1</v>
      </c>
    </row>
    <row r="274" spans="1:20" x14ac:dyDescent="0.2">
      <c r="A274" t="s">
        <v>237</v>
      </c>
      <c r="B274" t="s">
        <v>158</v>
      </c>
      <c r="C274" t="s">
        <v>664</v>
      </c>
      <c r="D274" t="s">
        <v>665</v>
      </c>
      <c r="E274" t="s">
        <v>42</v>
      </c>
      <c r="F274" t="s">
        <v>25</v>
      </c>
      <c r="G274" t="s">
        <v>43</v>
      </c>
      <c r="H274" t="s">
        <v>550</v>
      </c>
      <c r="I274" t="s">
        <v>338</v>
      </c>
      <c r="J274" t="s">
        <v>29</v>
      </c>
      <c r="K274" t="s">
        <v>46</v>
      </c>
      <c r="L274" t="s">
        <v>31</v>
      </c>
      <c r="M274" s="1">
        <v>0</v>
      </c>
      <c r="N274">
        <v>1</v>
      </c>
      <c r="O274">
        <v>1</v>
      </c>
      <c r="P274">
        <v>91.25</v>
      </c>
      <c r="Q274">
        <v>0</v>
      </c>
      <c r="R274" s="2">
        <v>1</v>
      </c>
      <c r="S274">
        <v>0</v>
      </c>
      <c r="T274">
        <v>0</v>
      </c>
    </row>
    <row r="275" spans="1:20" x14ac:dyDescent="0.2">
      <c r="A275" t="s">
        <v>237</v>
      </c>
      <c r="B275" t="s">
        <v>158</v>
      </c>
      <c r="C275" t="s">
        <v>894</v>
      </c>
      <c r="D275" t="s">
        <v>895</v>
      </c>
      <c r="E275" t="s">
        <v>42</v>
      </c>
      <c r="F275" t="s">
        <v>25</v>
      </c>
      <c r="G275" t="s">
        <v>43</v>
      </c>
      <c r="H275" t="s">
        <v>748</v>
      </c>
      <c r="I275" t="s">
        <v>338</v>
      </c>
      <c r="J275" t="s">
        <v>29</v>
      </c>
      <c r="K275" t="s">
        <v>46</v>
      </c>
      <c r="L275" t="s">
        <v>31</v>
      </c>
      <c r="M275" s="1">
        <v>292169.36</v>
      </c>
      <c r="N275">
        <v>1</v>
      </c>
      <c r="O275">
        <v>1</v>
      </c>
      <c r="P275">
        <v>91.25</v>
      </c>
      <c r="Q275">
        <v>0</v>
      </c>
      <c r="R275" s="2">
        <v>1</v>
      </c>
      <c r="S275">
        <v>0</v>
      </c>
      <c r="T275">
        <v>0</v>
      </c>
    </row>
    <row r="276" spans="1:20" x14ac:dyDescent="0.2">
      <c r="A276" t="s">
        <v>222</v>
      </c>
      <c r="B276" t="s">
        <v>158</v>
      </c>
      <c r="C276" t="s">
        <v>896</v>
      </c>
      <c r="D276" t="s">
        <v>897</v>
      </c>
      <c r="E276" t="s">
        <v>42</v>
      </c>
      <c r="F276" t="s">
        <v>25</v>
      </c>
      <c r="G276" t="s">
        <v>43</v>
      </c>
      <c r="H276" t="s">
        <v>748</v>
      </c>
      <c r="I276" t="s">
        <v>338</v>
      </c>
      <c r="J276" t="s">
        <v>29</v>
      </c>
      <c r="K276" t="s">
        <v>46</v>
      </c>
      <c r="L276" t="s">
        <v>38</v>
      </c>
      <c r="M276" s="1">
        <v>0</v>
      </c>
      <c r="N276">
        <v>0</v>
      </c>
      <c r="O276">
        <v>0</v>
      </c>
      <c r="P276">
        <v>91.25</v>
      </c>
      <c r="Q276">
        <v>0</v>
      </c>
      <c r="R276" s="2">
        <v>0</v>
      </c>
      <c r="S276">
        <v>1</v>
      </c>
      <c r="T276">
        <v>1</v>
      </c>
    </row>
    <row r="277" spans="1:20" x14ac:dyDescent="0.2">
      <c r="A277" t="s">
        <v>901</v>
      </c>
      <c r="B277" t="s">
        <v>158</v>
      </c>
      <c r="C277" t="s">
        <v>902</v>
      </c>
      <c r="D277" t="s">
        <v>903</v>
      </c>
      <c r="E277" t="s">
        <v>42</v>
      </c>
      <c r="F277" t="s">
        <v>58</v>
      </c>
      <c r="G277" t="s">
        <v>43</v>
      </c>
      <c r="H277" t="s">
        <v>748</v>
      </c>
      <c r="I277" t="s">
        <v>338</v>
      </c>
      <c r="J277" t="s">
        <v>29</v>
      </c>
      <c r="K277" t="s">
        <v>46</v>
      </c>
      <c r="L277" t="s">
        <v>31</v>
      </c>
      <c r="M277" s="1">
        <v>200825.48</v>
      </c>
      <c r="N277">
        <v>1</v>
      </c>
      <c r="O277">
        <v>1</v>
      </c>
      <c r="P277">
        <v>91.25</v>
      </c>
      <c r="Q277">
        <v>0</v>
      </c>
      <c r="R277" s="2">
        <v>1</v>
      </c>
      <c r="S277">
        <v>0</v>
      </c>
      <c r="T277">
        <v>0</v>
      </c>
    </row>
    <row r="278" spans="1:20" x14ac:dyDescent="0.2">
      <c r="A278" t="s">
        <v>914</v>
      </c>
      <c r="B278" t="s">
        <v>158</v>
      </c>
      <c r="C278" t="s">
        <v>915</v>
      </c>
      <c r="D278" t="s">
        <v>916</v>
      </c>
      <c r="E278" t="s">
        <v>42</v>
      </c>
      <c r="F278" t="s">
        <v>25</v>
      </c>
      <c r="G278" t="s">
        <v>43</v>
      </c>
      <c r="H278" t="s">
        <v>748</v>
      </c>
      <c r="I278" t="s">
        <v>338</v>
      </c>
      <c r="J278" t="s">
        <v>29</v>
      </c>
      <c r="K278" t="s">
        <v>46</v>
      </c>
      <c r="L278" t="s">
        <v>38</v>
      </c>
      <c r="M278" s="1">
        <v>0</v>
      </c>
      <c r="N278">
        <v>0</v>
      </c>
      <c r="O278">
        <v>0</v>
      </c>
      <c r="P278">
        <v>91.25</v>
      </c>
      <c r="Q278">
        <v>0</v>
      </c>
      <c r="R278" s="2">
        <v>0</v>
      </c>
      <c r="S278">
        <v>1</v>
      </c>
      <c r="T278">
        <v>1</v>
      </c>
    </row>
    <row r="279" spans="1:20" x14ac:dyDescent="0.2">
      <c r="A279" t="s">
        <v>917</v>
      </c>
      <c r="B279" t="s">
        <v>158</v>
      </c>
      <c r="C279" t="s">
        <v>918</v>
      </c>
      <c r="D279" t="s">
        <v>919</v>
      </c>
      <c r="E279" t="s">
        <v>42</v>
      </c>
      <c r="F279" t="s">
        <v>25</v>
      </c>
      <c r="G279" t="s">
        <v>43</v>
      </c>
      <c r="H279" t="s">
        <v>748</v>
      </c>
      <c r="I279" t="s">
        <v>338</v>
      </c>
      <c r="J279" t="s">
        <v>29</v>
      </c>
      <c r="K279" t="s">
        <v>46</v>
      </c>
      <c r="L279" t="s">
        <v>38</v>
      </c>
      <c r="M279" s="1">
        <v>0</v>
      </c>
      <c r="N279">
        <v>0</v>
      </c>
      <c r="O279">
        <v>0</v>
      </c>
      <c r="P279">
        <v>91.25</v>
      </c>
      <c r="Q279">
        <v>0</v>
      </c>
      <c r="R279" s="2">
        <v>0</v>
      </c>
      <c r="S279">
        <v>1</v>
      </c>
      <c r="T279">
        <v>1</v>
      </c>
    </row>
    <row r="280" spans="1:20" x14ac:dyDescent="0.2">
      <c r="A280" t="s">
        <v>713</v>
      </c>
      <c r="B280" t="s">
        <v>158</v>
      </c>
      <c r="C280" t="s">
        <v>922</v>
      </c>
      <c r="D280" t="s">
        <v>923</v>
      </c>
      <c r="E280" t="s">
        <v>42</v>
      </c>
      <c r="F280" t="s">
        <v>25</v>
      </c>
      <c r="G280" t="s">
        <v>43</v>
      </c>
      <c r="H280" t="s">
        <v>748</v>
      </c>
      <c r="I280" t="s">
        <v>338</v>
      </c>
      <c r="J280" t="s">
        <v>29</v>
      </c>
      <c r="K280" t="s">
        <v>46</v>
      </c>
      <c r="L280" t="s">
        <v>31</v>
      </c>
      <c r="M280" s="1">
        <v>427001.87</v>
      </c>
      <c r="N280">
        <v>1</v>
      </c>
      <c r="O280">
        <v>1</v>
      </c>
      <c r="P280">
        <v>91.25</v>
      </c>
      <c r="Q280">
        <v>0</v>
      </c>
      <c r="R280" s="2">
        <v>1</v>
      </c>
      <c r="S280">
        <v>0</v>
      </c>
      <c r="T280">
        <v>0</v>
      </c>
    </row>
    <row r="281" spans="1:20" x14ac:dyDescent="0.2">
      <c r="A281" t="s">
        <v>277</v>
      </c>
      <c r="B281" t="s">
        <v>262</v>
      </c>
      <c r="C281" t="s">
        <v>1020</v>
      </c>
      <c r="D281" t="s">
        <v>1021</v>
      </c>
      <c r="E281" t="s">
        <v>42</v>
      </c>
      <c r="F281" t="s">
        <v>58</v>
      </c>
      <c r="G281" t="s">
        <v>43</v>
      </c>
      <c r="H281" t="s">
        <v>748</v>
      </c>
      <c r="I281" t="s">
        <v>338</v>
      </c>
      <c r="J281" t="s">
        <v>29</v>
      </c>
      <c r="K281" t="s">
        <v>46</v>
      </c>
      <c r="L281" t="s">
        <v>38</v>
      </c>
      <c r="M281" s="1">
        <v>0</v>
      </c>
      <c r="N281">
        <v>0</v>
      </c>
      <c r="O281">
        <v>0</v>
      </c>
      <c r="P281">
        <v>91.25</v>
      </c>
      <c r="Q281">
        <v>0</v>
      </c>
      <c r="R281" s="2">
        <v>0</v>
      </c>
      <c r="S281">
        <v>1</v>
      </c>
      <c r="T281">
        <v>1</v>
      </c>
    </row>
    <row r="282" spans="1:20" x14ac:dyDescent="0.2">
      <c r="A282" t="s">
        <v>705</v>
      </c>
      <c r="B282" t="s">
        <v>262</v>
      </c>
      <c r="C282" t="s">
        <v>896</v>
      </c>
      <c r="D282" t="s">
        <v>897</v>
      </c>
      <c r="E282" t="s">
        <v>42</v>
      </c>
      <c r="F282" t="s">
        <v>58</v>
      </c>
      <c r="G282" t="s">
        <v>43</v>
      </c>
      <c r="H282" t="s">
        <v>748</v>
      </c>
      <c r="I282" t="s">
        <v>338</v>
      </c>
      <c r="J282" t="s">
        <v>29</v>
      </c>
      <c r="K282" t="s">
        <v>46</v>
      </c>
      <c r="L282" t="s">
        <v>38</v>
      </c>
      <c r="M282" s="1">
        <v>0</v>
      </c>
      <c r="N282">
        <v>0</v>
      </c>
      <c r="O282">
        <v>0</v>
      </c>
      <c r="P282">
        <v>91.25</v>
      </c>
      <c r="Q282">
        <v>0</v>
      </c>
      <c r="R282" s="2">
        <v>0</v>
      </c>
      <c r="S282">
        <v>1</v>
      </c>
      <c r="T282">
        <v>1</v>
      </c>
    </row>
    <row r="283" spans="1:20" x14ac:dyDescent="0.2">
      <c r="A283" t="s">
        <v>516</v>
      </c>
      <c r="B283" t="s">
        <v>262</v>
      </c>
      <c r="C283" t="s">
        <v>902</v>
      </c>
      <c r="D283" t="s">
        <v>903</v>
      </c>
      <c r="E283" t="s">
        <v>42</v>
      </c>
      <c r="F283" t="s">
        <v>25</v>
      </c>
      <c r="G283" t="s">
        <v>43</v>
      </c>
      <c r="H283" t="s">
        <v>748</v>
      </c>
      <c r="I283" t="s">
        <v>338</v>
      </c>
      <c r="J283" t="s">
        <v>29</v>
      </c>
      <c r="K283" t="s">
        <v>46</v>
      </c>
      <c r="L283" t="s">
        <v>31</v>
      </c>
      <c r="M283" s="1">
        <v>52910.63</v>
      </c>
      <c r="N283">
        <v>1</v>
      </c>
      <c r="O283">
        <v>1</v>
      </c>
      <c r="P283">
        <v>91.25</v>
      </c>
      <c r="Q283">
        <v>0</v>
      </c>
      <c r="R283" s="2">
        <v>1</v>
      </c>
      <c r="S283">
        <v>0</v>
      </c>
      <c r="T283">
        <v>0</v>
      </c>
    </row>
    <row r="284" spans="1:20" x14ac:dyDescent="0.2">
      <c r="A284" t="s">
        <v>1031</v>
      </c>
      <c r="B284" t="s">
        <v>262</v>
      </c>
      <c r="C284" t="s">
        <v>922</v>
      </c>
      <c r="D284" t="s">
        <v>923</v>
      </c>
      <c r="E284" t="s">
        <v>42</v>
      </c>
      <c r="F284" t="s">
        <v>58</v>
      </c>
      <c r="G284" t="s">
        <v>43</v>
      </c>
      <c r="H284" t="s">
        <v>748</v>
      </c>
      <c r="I284" t="s">
        <v>338</v>
      </c>
      <c r="J284" t="s">
        <v>29</v>
      </c>
      <c r="K284" t="s">
        <v>46</v>
      </c>
      <c r="L284" t="s">
        <v>31</v>
      </c>
      <c r="M284" s="1">
        <v>48197.89</v>
      </c>
      <c r="N284">
        <v>1</v>
      </c>
      <c r="O284">
        <v>1</v>
      </c>
      <c r="P284">
        <v>91.25</v>
      </c>
      <c r="Q284">
        <v>0</v>
      </c>
      <c r="R284" s="2">
        <v>1</v>
      </c>
      <c r="S284">
        <v>0</v>
      </c>
      <c r="T284">
        <v>0</v>
      </c>
    </row>
    <row r="285" spans="1:20" x14ac:dyDescent="0.2">
      <c r="A285" t="s">
        <v>434</v>
      </c>
      <c r="B285" t="s">
        <v>158</v>
      </c>
      <c r="C285" t="s">
        <v>1229</v>
      </c>
      <c r="D285" t="s">
        <v>1230</v>
      </c>
      <c r="E285" t="s">
        <v>42</v>
      </c>
      <c r="F285" t="s">
        <v>25</v>
      </c>
      <c r="G285" t="s">
        <v>43</v>
      </c>
      <c r="H285" t="s">
        <v>1071</v>
      </c>
      <c r="I285" t="s">
        <v>338</v>
      </c>
      <c r="J285" t="s">
        <v>29</v>
      </c>
      <c r="K285" t="s">
        <v>46</v>
      </c>
      <c r="L285" t="s">
        <v>38</v>
      </c>
      <c r="M285" s="1">
        <v>0</v>
      </c>
      <c r="N285">
        <v>0</v>
      </c>
      <c r="O285">
        <v>0</v>
      </c>
      <c r="P285">
        <v>91.25</v>
      </c>
      <c r="Q285">
        <v>0</v>
      </c>
      <c r="R285" s="2">
        <v>0</v>
      </c>
      <c r="S285">
        <v>1</v>
      </c>
      <c r="T285">
        <v>1</v>
      </c>
    </row>
    <row r="286" spans="1:20" x14ac:dyDescent="0.2">
      <c r="A286" t="s">
        <v>20</v>
      </c>
      <c r="B286" t="s">
        <v>250</v>
      </c>
      <c r="C286" t="s">
        <v>1329</v>
      </c>
      <c r="D286" t="s">
        <v>1330</v>
      </c>
      <c r="E286" t="s">
        <v>42</v>
      </c>
      <c r="F286" t="s">
        <v>25</v>
      </c>
      <c r="G286" t="s">
        <v>43</v>
      </c>
      <c r="H286" t="s">
        <v>1071</v>
      </c>
      <c r="I286" t="s">
        <v>338</v>
      </c>
      <c r="J286" t="s">
        <v>29</v>
      </c>
      <c r="K286" t="s">
        <v>46</v>
      </c>
      <c r="L286" t="s">
        <v>38</v>
      </c>
      <c r="M286" s="1">
        <v>0</v>
      </c>
      <c r="N286">
        <v>0</v>
      </c>
      <c r="O286">
        <v>0</v>
      </c>
      <c r="P286">
        <v>91.25</v>
      </c>
      <c r="Q286">
        <v>0</v>
      </c>
      <c r="R286" s="2">
        <v>0</v>
      </c>
      <c r="S286">
        <v>1</v>
      </c>
      <c r="T286">
        <v>1</v>
      </c>
    </row>
    <row r="287" spans="1:20" x14ac:dyDescent="0.2">
      <c r="A287" t="s">
        <v>307</v>
      </c>
      <c r="B287" t="s">
        <v>262</v>
      </c>
      <c r="C287" t="s">
        <v>1376</v>
      </c>
      <c r="D287" t="s">
        <v>1377</v>
      </c>
      <c r="E287" t="s">
        <v>42</v>
      </c>
      <c r="F287" t="s">
        <v>25</v>
      </c>
      <c r="G287" t="s">
        <v>43</v>
      </c>
      <c r="H287" t="s">
        <v>1071</v>
      </c>
      <c r="I287" t="s">
        <v>338</v>
      </c>
      <c r="J287" t="s">
        <v>29</v>
      </c>
      <c r="K287" t="s">
        <v>46</v>
      </c>
      <c r="L287" t="s">
        <v>38</v>
      </c>
      <c r="M287" s="1">
        <v>0</v>
      </c>
      <c r="N287">
        <v>0</v>
      </c>
      <c r="O287">
        <v>0</v>
      </c>
      <c r="P287">
        <v>91.25</v>
      </c>
      <c r="Q287">
        <v>0</v>
      </c>
      <c r="R287" s="2">
        <v>0</v>
      </c>
      <c r="S287">
        <v>1</v>
      </c>
      <c r="T287">
        <v>1</v>
      </c>
    </row>
    <row r="288" spans="1:20" x14ac:dyDescent="0.2">
      <c r="A288" t="s">
        <v>126</v>
      </c>
      <c r="B288" t="s">
        <v>21</v>
      </c>
      <c r="C288" t="s">
        <v>1422</v>
      </c>
      <c r="D288" t="s">
        <v>1423</v>
      </c>
      <c r="E288" t="s">
        <v>42</v>
      </c>
      <c r="F288" t="s">
        <v>58</v>
      </c>
      <c r="G288" t="s">
        <v>43</v>
      </c>
      <c r="H288" t="s">
        <v>1410</v>
      </c>
      <c r="I288" t="s">
        <v>338</v>
      </c>
      <c r="J288" t="s">
        <v>29</v>
      </c>
      <c r="K288" t="s">
        <v>46</v>
      </c>
      <c r="L288" t="s">
        <v>556</v>
      </c>
      <c r="M288" s="1">
        <v>0</v>
      </c>
      <c r="N288">
        <v>0</v>
      </c>
      <c r="O288">
        <v>0</v>
      </c>
      <c r="P288">
        <v>91.25</v>
      </c>
      <c r="Q288">
        <v>1</v>
      </c>
      <c r="R288" s="2">
        <v>0</v>
      </c>
      <c r="S288">
        <v>0</v>
      </c>
      <c r="T288">
        <v>0</v>
      </c>
    </row>
    <row r="289" spans="1:20" x14ac:dyDescent="0.2">
      <c r="A289" t="s">
        <v>859</v>
      </c>
      <c r="B289" t="s">
        <v>158</v>
      </c>
      <c r="C289" t="s">
        <v>1475</v>
      </c>
      <c r="D289" t="s">
        <v>1476</v>
      </c>
      <c r="E289" t="s">
        <v>42</v>
      </c>
      <c r="F289" t="s">
        <v>25</v>
      </c>
      <c r="G289" t="s">
        <v>43</v>
      </c>
      <c r="H289" t="s">
        <v>1410</v>
      </c>
      <c r="I289" t="s">
        <v>338</v>
      </c>
      <c r="J289" t="s">
        <v>29</v>
      </c>
      <c r="K289" t="s">
        <v>46</v>
      </c>
      <c r="L289" t="s">
        <v>556</v>
      </c>
      <c r="M289" s="1">
        <v>0</v>
      </c>
      <c r="N289">
        <v>0</v>
      </c>
      <c r="O289">
        <v>0</v>
      </c>
      <c r="P289">
        <v>91.25</v>
      </c>
      <c r="Q289">
        <v>1</v>
      </c>
      <c r="R289" s="2">
        <v>0</v>
      </c>
      <c r="S289">
        <v>0</v>
      </c>
      <c r="T289">
        <v>0</v>
      </c>
    </row>
    <row r="290" spans="1:20" x14ac:dyDescent="0.2">
      <c r="A290" t="s">
        <v>186</v>
      </c>
      <c r="B290" t="s">
        <v>158</v>
      </c>
      <c r="C290" t="s">
        <v>1531</v>
      </c>
      <c r="D290" t="s">
        <v>1532</v>
      </c>
      <c r="E290" t="s">
        <v>42</v>
      </c>
      <c r="F290" t="s">
        <v>25</v>
      </c>
      <c r="G290" t="s">
        <v>43</v>
      </c>
      <c r="H290" t="s">
        <v>1410</v>
      </c>
      <c r="I290" t="s">
        <v>338</v>
      </c>
      <c r="J290" t="s">
        <v>29</v>
      </c>
      <c r="K290" t="s">
        <v>46</v>
      </c>
      <c r="L290" t="s">
        <v>556</v>
      </c>
      <c r="M290" s="1">
        <v>0</v>
      </c>
      <c r="N290">
        <v>0</v>
      </c>
      <c r="O290">
        <v>0</v>
      </c>
      <c r="P290">
        <v>91.25</v>
      </c>
      <c r="Q290">
        <v>1</v>
      </c>
      <c r="R290" s="2">
        <v>0</v>
      </c>
      <c r="S290">
        <v>0</v>
      </c>
      <c r="T290">
        <v>0</v>
      </c>
    </row>
    <row r="291" spans="1:20" x14ac:dyDescent="0.2">
      <c r="A291" t="s">
        <v>516</v>
      </c>
      <c r="B291" t="s">
        <v>262</v>
      </c>
      <c r="C291" t="s">
        <v>1564</v>
      </c>
      <c r="D291" t="s">
        <v>1565</v>
      </c>
      <c r="E291" t="s">
        <v>42</v>
      </c>
      <c r="F291" t="s">
        <v>25</v>
      </c>
      <c r="G291" t="s">
        <v>43</v>
      </c>
      <c r="H291" t="s">
        <v>1410</v>
      </c>
      <c r="I291" t="s">
        <v>338</v>
      </c>
      <c r="J291" t="s">
        <v>29</v>
      </c>
      <c r="K291" t="s">
        <v>46</v>
      </c>
      <c r="L291" t="s">
        <v>556</v>
      </c>
      <c r="M291" s="1">
        <v>0</v>
      </c>
      <c r="N291">
        <v>0</v>
      </c>
      <c r="O291">
        <v>0</v>
      </c>
      <c r="P291">
        <v>91.25</v>
      </c>
      <c r="Q291">
        <v>1</v>
      </c>
      <c r="R291" s="2">
        <v>0</v>
      </c>
      <c r="S291">
        <v>0</v>
      </c>
      <c r="T291">
        <v>0</v>
      </c>
    </row>
    <row r="292" spans="1:20" x14ac:dyDescent="0.2">
      <c r="A292" t="s">
        <v>39</v>
      </c>
      <c r="B292" t="s">
        <v>21</v>
      </c>
      <c r="C292" t="s">
        <v>40</v>
      </c>
      <c r="D292" t="s">
        <v>41</v>
      </c>
      <c r="E292" t="s">
        <v>42</v>
      </c>
      <c r="F292" t="s">
        <v>25</v>
      </c>
      <c r="G292" t="s">
        <v>43</v>
      </c>
      <c r="H292" t="s">
        <v>27</v>
      </c>
      <c r="I292" t="s">
        <v>44</v>
      </c>
      <c r="J292" t="s">
        <v>45</v>
      </c>
      <c r="K292" t="s">
        <v>46</v>
      </c>
      <c r="L292" t="s">
        <v>38</v>
      </c>
      <c r="M292" s="1">
        <v>0</v>
      </c>
      <c r="N292">
        <v>0</v>
      </c>
      <c r="O292">
        <v>0</v>
      </c>
      <c r="P292">
        <v>91.25</v>
      </c>
      <c r="Q292">
        <v>0</v>
      </c>
      <c r="R292" s="2">
        <v>0</v>
      </c>
      <c r="S292">
        <v>1</v>
      </c>
      <c r="T292">
        <v>1</v>
      </c>
    </row>
    <row r="293" spans="1:20" x14ac:dyDescent="0.2">
      <c r="A293" t="s">
        <v>51</v>
      </c>
      <c r="B293" t="s">
        <v>21</v>
      </c>
      <c r="C293" t="s">
        <v>52</v>
      </c>
      <c r="D293" t="s">
        <v>53</v>
      </c>
      <c r="E293" t="s">
        <v>42</v>
      </c>
      <c r="F293" t="s">
        <v>25</v>
      </c>
      <c r="G293" t="s">
        <v>43</v>
      </c>
      <c r="H293" t="s">
        <v>27</v>
      </c>
      <c r="I293" t="s">
        <v>44</v>
      </c>
      <c r="J293" t="s">
        <v>45</v>
      </c>
      <c r="K293" t="s">
        <v>46</v>
      </c>
      <c r="L293" t="s">
        <v>38</v>
      </c>
      <c r="M293" s="1">
        <v>0</v>
      </c>
      <c r="N293">
        <v>0</v>
      </c>
      <c r="O293">
        <v>0</v>
      </c>
      <c r="P293">
        <v>91.25</v>
      </c>
      <c r="Q293">
        <v>0</v>
      </c>
      <c r="R293" s="2">
        <v>0</v>
      </c>
      <c r="S293">
        <v>1</v>
      </c>
      <c r="T293">
        <v>1</v>
      </c>
    </row>
    <row r="294" spans="1:20" x14ac:dyDescent="0.2">
      <c r="A294" t="s">
        <v>32</v>
      </c>
      <c r="B294" t="s">
        <v>21</v>
      </c>
      <c r="C294" t="s">
        <v>802</v>
      </c>
      <c r="D294" t="s">
        <v>803</v>
      </c>
      <c r="E294" t="s">
        <v>804</v>
      </c>
      <c r="F294" t="s">
        <v>25</v>
      </c>
      <c r="G294" t="s">
        <v>805</v>
      </c>
      <c r="H294" t="s">
        <v>748</v>
      </c>
      <c r="I294" t="s">
        <v>28</v>
      </c>
      <c r="J294" t="s">
        <v>29</v>
      </c>
      <c r="K294" t="s">
        <v>46</v>
      </c>
      <c r="L294" t="s">
        <v>38</v>
      </c>
      <c r="M294" s="1">
        <v>0</v>
      </c>
      <c r="N294">
        <v>0</v>
      </c>
      <c r="O294">
        <v>0</v>
      </c>
      <c r="P294">
        <v>91.25</v>
      </c>
      <c r="Q294">
        <v>0</v>
      </c>
      <c r="R294" s="2">
        <v>0</v>
      </c>
      <c r="S294">
        <v>1</v>
      </c>
      <c r="T294">
        <v>1</v>
      </c>
    </row>
    <row r="295" spans="1:20" x14ac:dyDescent="0.2">
      <c r="A295" t="s">
        <v>1205</v>
      </c>
      <c r="B295" t="s">
        <v>21</v>
      </c>
      <c r="C295" t="s">
        <v>1206</v>
      </c>
      <c r="D295" t="s">
        <v>1207</v>
      </c>
      <c r="E295" t="s">
        <v>1208</v>
      </c>
      <c r="F295" t="s">
        <v>25</v>
      </c>
      <c r="G295" t="s">
        <v>1209</v>
      </c>
      <c r="H295" t="s">
        <v>1071</v>
      </c>
      <c r="I295" t="s">
        <v>28</v>
      </c>
      <c r="J295" t="s">
        <v>29</v>
      </c>
      <c r="K295" t="s">
        <v>46</v>
      </c>
      <c r="L295" t="s">
        <v>556</v>
      </c>
      <c r="M295" s="1">
        <v>0</v>
      </c>
      <c r="N295">
        <v>0</v>
      </c>
      <c r="O295">
        <v>0</v>
      </c>
      <c r="P295">
        <v>91.25</v>
      </c>
      <c r="Q295">
        <v>1</v>
      </c>
      <c r="R295" s="2">
        <v>0</v>
      </c>
      <c r="S295">
        <v>0</v>
      </c>
      <c r="T295">
        <v>0</v>
      </c>
    </row>
    <row r="296" spans="1:20" x14ac:dyDescent="0.2">
      <c r="A296" t="s">
        <v>528</v>
      </c>
      <c r="B296" t="s">
        <v>262</v>
      </c>
      <c r="C296" t="s">
        <v>529</v>
      </c>
      <c r="D296" t="s">
        <v>530</v>
      </c>
      <c r="E296" t="s">
        <v>531</v>
      </c>
      <c r="F296" t="s">
        <v>58</v>
      </c>
      <c r="G296" t="s">
        <v>532</v>
      </c>
      <c r="H296" t="s">
        <v>319</v>
      </c>
      <c r="I296" t="s">
        <v>28</v>
      </c>
      <c r="J296" t="s">
        <v>29</v>
      </c>
      <c r="K296" t="s">
        <v>46</v>
      </c>
      <c r="L296" t="s">
        <v>31</v>
      </c>
      <c r="M296" s="1">
        <v>6241.4</v>
      </c>
      <c r="N296">
        <v>1</v>
      </c>
      <c r="O296">
        <v>1</v>
      </c>
      <c r="P296">
        <v>91.25</v>
      </c>
      <c r="Q296">
        <v>0</v>
      </c>
      <c r="R296" s="2">
        <v>1</v>
      </c>
      <c r="S296">
        <v>0</v>
      </c>
      <c r="T296">
        <v>0</v>
      </c>
    </row>
    <row r="297" spans="1:20" x14ac:dyDescent="0.2">
      <c r="A297" t="s">
        <v>698</v>
      </c>
      <c r="B297" t="s">
        <v>262</v>
      </c>
      <c r="C297" t="s">
        <v>1027</v>
      </c>
      <c r="D297" t="s">
        <v>1028</v>
      </c>
      <c r="E297" t="s">
        <v>531</v>
      </c>
      <c r="F297" t="s">
        <v>25</v>
      </c>
      <c r="G297" t="s">
        <v>532</v>
      </c>
      <c r="H297" t="s">
        <v>748</v>
      </c>
      <c r="I297" t="s">
        <v>28</v>
      </c>
      <c r="J297" t="s">
        <v>29</v>
      </c>
      <c r="K297" t="s">
        <v>46</v>
      </c>
      <c r="L297" t="s">
        <v>31</v>
      </c>
      <c r="M297" s="1">
        <v>60065.94</v>
      </c>
      <c r="N297">
        <v>1</v>
      </c>
      <c r="O297">
        <v>1</v>
      </c>
      <c r="P297">
        <v>91.25</v>
      </c>
      <c r="Q297">
        <v>0</v>
      </c>
      <c r="R297" s="2">
        <v>1</v>
      </c>
      <c r="S297">
        <v>0</v>
      </c>
      <c r="T297">
        <v>0</v>
      </c>
    </row>
    <row r="298" spans="1:20" x14ac:dyDescent="0.2">
      <c r="A298" t="s">
        <v>265</v>
      </c>
      <c r="B298" t="s">
        <v>262</v>
      </c>
      <c r="C298" t="s">
        <v>1048</v>
      </c>
      <c r="D298" t="s">
        <v>1049</v>
      </c>
      <c r="E298" t="s">
        <v>531</v>
      </c>
      <c r="F298" t="s">
        <v>25</v>
      </c>
      <c r="G298" t="s">
        <v>532</v>
      </c>
      <c r="H298" t="s">
        <v>748</v>
      </c>
      <c r="I298" t="s">
        <v>28</v>
      </c>
      <c r="J298" t="s">
        <v>29</v>
      </c>
      <c r="K298" t="s">
        <v>46</v>
      </c>
      <c r="L298" t="s">
        <v>38</v>
      </c>
      <c r="M298" s="1">
        <v>0</v>
      </c>
      <c r="N298">
        <v>0</v>
      </c>
      <c r="O298">
        <v>0</v>
      </c>
      <c r="P298">
        <v>91.25</v>
      </c>
      <c r="Q298">
        <v>0</v>
      </c>
      <c r="R298" s="2">
        <v>0</v>
      </c>
      <c r="S298">
        <v>1</v>
      </c>
      <c r="T298">
        <v>1</v>
      </c>
    </row>
    <row r="299" spans="1:20" x14ac:dyDescent="0.2">
      <c r="A299" t="s">
        <v>713</v>
      </c>
      <c r="B299" t="s">
        <v>158</v>
      </c>
      <c r="C299" t="s">
        <v>1213</v>
      </c>
      <c r="D299" t="s">
        <v>1214</v>
      </c>
      <c r="E299" t="s">
        <v>531</v>
      </c>
      <c r="F299" t="s">
        <v>58</v>
      </c>
      <c r="G299" t="s">
        <v>532</v>
      </c>
      <c r="H299" t="s">
        <v>1071</v>
      </c>
      <c r="I299" t="s">
        <v>28</v>
      </c>
      <c r="J299" t="s">
        <v>29</v>
      </c>
      <c r="K299" t="s">
        <v>46</v>
      </c>
      <c r="L299" t="s">
        <v>31</v>
      </c>
      <c r="M299" s="1">
        <v>174827.23</v>
      </c>
      <c r="N299">
        <v>1</v>
      </c>
      <c r="O299">
        <v>1</v>
      </c>
      <c r="P299">
        <v>91.25</v>
      </c>
      <c r="Q299">
        <v>0</v>
      </c>
      <c r="R299" s="2">
        <v>1</v>
      </c>
      <c r="S299">
        <v>0</v>
      </c>
      <c r="T299">
        <v>0</v>
      </c>
    </row>
    <row r="300" spans="1:20" x14ac:dyDescent="0.2">
      <c r="A300" t="s">
        <v>227</v>
      </c>
      <c r="B300" t="s">
        <v>158</v>
      </c>
      <c r="C300" t="s">
        <v>228</v>
      </c>
      <c r="D300" t="s">
        <v>229</v>
      </c>
      <c r="E300" t="s">
        <v>230</v>
      </c>
      <c r="F300" t="s">
        <v>25</v>
      </c>
      <c r="G300" t="s">
        <v>229</v>
      </c>
      <c r="H300" t="s">
        <v>27</v>
      </c>
      <c r="I300" t="s">
        <v>28</v>
      </c>
      <c r="J300" t="s">
        <v>29</v>
      </c>
      <c r="K300" t="s">
        <v>46</v>
      </c>
      <c r="L300" t="s">
        <v>38</v>
      </c>
      <c r="M300" s="1">
        <v>0</v>
      </c>
      <c r="N300">
        <v>0</v>
      </c>
      <c r="O300">
        <v>0</v>
      </c>
      <c r="P300">
        <v>91.25</v>
      </c>
      <c r="Q300">
        <v>0</v>
      </c>
      <c r="R300" s="2">
        <v>0</v>
      </c>
      <c r="S300">
        <v>1</v>
      </c>
      <c r="T300">
        <v>1</v>
      </c>
    </row>
    <row r="301" spans="1:20" x14ac:dyDescent="0.2">
      <c r="A301" t="s">
        <v>175</v>
      </c>
      <c r="B301" t="s">
        <v>158</v>
      </c>
      <c r="C301" t="s">
        <v>466</v>
      </c>
      <c r="D301" t="s">
        <v>467</v>
      </c>
      <c r="E301" t="s">
        <v>230</v>
      </c>
      <c r="F301" t="s">
        <v>25</v>
      </c>
      <c r="G301" t="s">
        <v>229</v>
      </c>
      <c r="H301" t="s">
        <v>319</v>
      </c>
      <c r="I301" t="s">
        <v>28</v>
      </c>
      <c r="J301" t="s">
        <v>29</v>
      </c>
      <c r="K301" t="s">
        <v>46</v>
      </c>
      <c r="L301" t="s">
        <v>38</v>
      </c>
      <c r="M301" s="1">
        <v>154103.03</v>
      </c>
      <c r="N301">
        <v>0</v>
      </c>
      <c r="O301">
        <v>1</v>
      </c>
      <c r="P301">
        <v>91.25</v>
      </c>
      <c r="Q301">
        <v>0</v>
      </c>
      <c r="R301" s="2">
        <v>1</v>
      </c>
      <c r="S301">
        <v>1</v>
      </c>
      <c r="T301">
        <v>0</v>
      </c>
    </row>
    <row r="302" spans="1:20" x14ac:dyDescent="0.2">
      <c r="A302" t="s">
        <v>157</v>
      </c>
      <c r="B302" t="s">
        <v>158</v>
      </c>
      <c r="C302" t="s">
        <v>208</v>
      </c>
      <c r="D302" t="s">
        <v>209</v>
      </c>
      <c r="E302" t="s">
        <v>210</v>
      </c>
      <c r="F302" t="s">
        <v>25</v>
      </c>
      <c r="G302" t="s">
        <v>211</v>
      </c>
      <c r="H302" t="s">
        <v>27</v>
      </c>
      <c r="I302" t="s">
        <v>28</v>
      </c>
      <c r="J302" t="s">
        <v>29</v>
      </c>
      <c r="K302" t="s">
        <v>46</v>
      </c>
      <c r="L302" t="s">
        <v>31</v>
      </c>
      <c r="M302" s="1">
        <v>450516.66</v>
      </c>
      <c r="N302">
        <v>1</v>
      </c>
      <c r="O302">
        <v>1</v>
      </c>
      <c r="P302">
        <v>91.25</v>
      </c>
      <c r="Q302">
        <v>0</v>
      </c>
      <c r="R302" s="2">
        <v>1</v>
      </c>
      <c r="S302">
        <v>0</v>
      </c>
      <c r="T302">
        <v>0</v>
      </c>
    </row>
    <row r="303" spans="1:20" x14ac:dyDescent="0.2">
      <c r="A303" t="s">
        <v>265</v>
      </c>
      <c r="B303" t="s">
        <v>262</v>
      </c>
      <c r="C303" t="s">
        <v>701</v>
      </c>
      <c r="D303" t="s">
        <v>702</v>
      </c>
      <c r="E303" t="s">
        <v>210</v>
      </c>
      <c r="F303" t="s">
        <v>25</v>
      </c>
      <c r="G303" t="s">
        <v>211</v>
      </c>
      <c r="H303" t="s">
        <v>550</v>
      </c>
      <c r="I303" t="s">
        <v>28</v>
      </c>
      <c r="J303" t="s">
        <v>29</v>
      </c>
      <c r="K303" t="s">
        <v>46</v>
      </c>
      <c r="L303" t="s">
        <v>31</v>
      </c>
      <c r="M303" s="1">
        <v>180611.21</v>
      </c>
      <c r="N303">
        <v>1</v>
      </c>
      <c r="O303">
        <v>1</v>
      </c>
      <c r="P303">
        <v>91.25</v>
      </c>
      <c r="Q303">
        <v>0</v>
      </c>
      <c r="R303" s="2">
        <v>1</v>
      </c>
      <c r="S303">
        <v>0</v>
      </c>
      <c r="T303">
        <v>0</v>
      </c>
    </row>
    <row r="304" spans="1:20" x14ac:dyDescent="0.2">
      <c r="A304" t="s">
        <v>157</v>
      </c>
      <c r="B304" t="s">
        <v>158</v>
      </c>
      <c r="C304" t="s">
        <v>1271</v>
      </c>
      <c r="D304" t="s">
        <v>1272</v>
      </c>
      <c r="E304" t="s">
        <v>210</v>
      </c>
      <c r="F304" t="s">
        <v>25</v>
      </c>
      <c r="G304" t="s">
        <v>211</v>
      </c>
      <c r="H304" t="s">
        <v>1071</v>
      </c>
      <c r="I304" t="s">
        <v>28</v>
      </c>
      <c r="J304" t="s">
        <v>29</v>
      </c>
      <c r="K304" t="s">
        <v>46</v>
      </c>
      <c r="L304" t="s">
        <v>38</v>
      </c>
      <c r="M304" s="1">
        <v>0</v>
      </c>
      <c r="N304">
        <v>0</v>
      </c>
      <c r="O304">
        <v>0</v>
      </c>
      <c r="P304">
        <v>91.25</v>
      </c>
      <c r="Q304">
        <v>0</v>
      </c>
      <c r="R304" s="2">
        <v>0</v>
      </c>
      <c r="S304">
        <v>1</v>
      </c>
      <c r="T304">
        <v>1</v>
      </c>
    </row>
    <row r="305" spans="1:20" x14ac:dyDescent="0.2">
      <c r="A305" t="s">
        <v>219</v>
      </c>
      <c r="B305" t="s">
        <v>158</v>
      </c>
      <c r="C305" t="s">
        <v>1480</v>
      </c>
      <c r="D305" t="s">
        <v>1481</v>
      </c>
      <c r="E305" t="s">
        <v>210</v>
      </c>
      <c r="F305" t="s">
        <v>25</v>
      </c>
      <c r="G305" t="s">
        <v>211</v>
      </c>
      <c r="H305" t="s">
        <v>1410</v>
      </c>
      <c r="I305" t="s">
        <v>28</v>
      </c>
      <c r="J305" t="s">
        <v>29</v>
      </c>
      <c r="K305" t="s">
        <v>46</v>
      </c>
      <c r="L305" t="s">
        <v>556</v>
      </c>
      <c r="M305" s="1">
        <v>0</v>
      </c>
      <c r="N305">
        <v>0</v>
      </c>
      <c r="O305">
        <v>0</v>
      </c>
      <c r="P305">
        <v>91.25</v>
      </c>
      <c r="Q305">
        <v>1</v>
      </c>
      <c r="R305" s="2">
        <v>0</v>
      </c>
      <c r="S305">
        <v>0</v>
      </c>
      <c r="T305">
        <v>0</v>
      </c>
    </row>
    <row r="306" spans="1:20" x14ac:dyDescent="0.2">
      <c r="A306" t="s">
        <v>157</v>
      </c>
      <c r="B306" t="s">
        <v>158</v>
      </c>
      <c r="C306" t="s">
        <v>163</v>
      </c>
      <c r="D306" t="s">
        <v>164</v>
      </c>
      <c r="E306" t="s">
        <v>165</v>
      </c>
      <c r="F306" t="s">
        <v>25</v>
      </c>
      <c r="G306" t="s">
        <v>166</v>
      </c>
      <c r="H306" t="s">
        <v>27</v>
      </c>
      <c r="I306" t="s">
        <v>28</v>
      </c>
      <c r="J306" t="s">
        <v>29</v>
      </c>
      <c r="K306" t="s">
        <v>46</v>
      </c>
      <c r="L306" t="s">
        <v>31</v>
      </c>
      <c r="M306" s="1">
        <v>211008.93</v>
      </c>
      <c r="N306">
        <v>1</v>
      </c>
      <c r="O306">
        <v>1</v>
      </c>
      <c r="P306">
        <v>91.25</v>
      </c>
      <c r="Q306">
        <v>0</v>
      </c>
      <c r="R306" s="2">
        <v>1</v>
      </c>
      <c r="S306">
        <v>0</v>
      </c>
      <c r="T306">
        <v>0</v>
      </c>
    </row>
    <row r="307" spans="1:20" x14ac:dyDescent="0.2">
      <c r="A307" t="s">
        <v>1017</v>
      </c>
      <c r="B307" t="s">
        <v>262</v>
      </c>
      <c r="C307" t="s">
        <v>1018</v>
      </c>
      <c r="D307" t="s">
        <v>1019</v>
      </c>
      <c r="E307" t="s">
        <v>165</v>
      </c>
      <c r="F307" t="s">
        <v>58</v>
      </c>
      <c r="G307" t="s">
        <v>166</v>
      </c>
      <c r="H307" t="s">
        <v>748</v>
      </c>
      <c r="I307" t="s">
        <v>28</v>
      </c>
      <c r="J307" t="s">
        <v>29</v>
      </c>
      <c r="K307" t="s">
        <v>46</v>
      </c>
      <c r="L307" t="s">
        <v>38</v>
      </c>
      <c r="M307" s="1">
        <v>0</v>
      </c>
      <c r="N307">
        <v>0</v>
      </c>
      <c r="O307">
        <v>0</v>
      </c>
      <c r="P307">
        <v>91.25</v>
      </c>
      <c r="Q307">
        <v>0</v>
      </c>
      <c r="R307" s="2">
        <v>0</v>
      </c>
      <c r="S307">
        <v>1</v>
      </c>
      <c r="T307">
        <v>1</v>
      </c>
    </row>
    <row r="308" spans="1:20" x14ac:dyDescent="0.2">
      <c r="A308" t="s">
        <v>901</v>
      </c>
      <c r="B308" t="s">
        <v>158</v>
      </c>
      <c r="C308" t="s">
        <v>1215</v>
      </c>
      <c r="D308" t="s">
        <v>1216</v>
      </c>
      <c r="E308" t="s">
        <v>165</v>
      </c>
      <c r="F308" t="s">
        <v>58</v>
      </c>
      <c r="G308" t="s">
        <v>166</v>
      </c>
      <c r="H308" t="s">
        <v>1071</v>
      </c>
      <c r="I308" t="s">
        <v>28</v>
      </c>
      <c r="J308" t="s">
        <v>29</v>
      </c>
      <c r="K308" t="s">
        <v>30</v>
      </c>
      <c r="L308" t="s">
        <v>38</v>
      </c>
      <c r="M308" s="1">
        <v>0</v>
      </c>
      <c r="N308">
        <v>0</v>
      </c>
      <c r="O308">
        <v>0</v>
      </c>
      <c r="P308">
        <v>91.25</v>
      </c>
      <c r="Q308">
        <v>0</v>
      </c>
      <c r="R308" s="2">
        <v>0</v>
      </c>
      <c r="S308">
        <v>1</v>
      </c>
      <c r="T308">
        <v>1</v>
      </c>
    </row>
    <row r="309" spans="1:20" x14ac:dyDescent="0.2">
      <c r="A309" t="s">
        <v>20</v>
      </c>
      <c r="B309" t="s">
        <v>250</v>
      </c>
      <c r="C309" t="s">
        <v>1215</v>
      </c>
      <c r="D309" t="s">
        <v>1216</v>
      </c>
      <c r="E309" t="s">
        <v>165</v>
      </c>
      <c r="F309" t="s">
        <v>58</v>
      </c>
      <c r="G309" t="s">
        <v>166</v>
      </c>
      <c r="H309" t="s">
        <v>1071</v>
      </c>
      <c r="I309" t="s">
        <v>28</v>
      </c>
      <c r="J309" t="s">
        <v>29</v>
      </c>
      <c r="K309" t="s">
        <v>30</v>
      </c>
      <c r="L309" t="s">
        <v>38</v>
      </c>
      <c r="M309" s="1">
        <v>0</v>
      </c>
      <c r="N309">
        <v>0</v>
      </c>
      <c r="O309">
        <v>0</v>
      </c>
      <c r="P309">
        <v>91.25</v>
      </c>
      <c r="Q309">
        <v>0</v>
      </c>
      <c r="R309" s="2">
        <v>0</v>
      </c>
      <c r="S309">
        <v>1</v>
      </c>
      <c r="T309">
        <v>1</v>
      </c>
    </row>
    <row r="310" spans="1:20" x14ac:dyDescent="0.2">
      <c r="A310" t="s">
        <v>516</v>
      </c>
      <c r="B310" t="s">
        <v>262</v>
      </c>
      <c r="C310" t="s">
        <v>1215</v>
      </c>
      <c r="D310" t="s">
        <v>1216</v>
      </c>
      <c r="E310" t="s">
        <v>165</v>
      </c>
      <c r="F310" t="s">
        <v>25</v>
      </c>
      <c r="G310" t="s">
        <v>166</v>
      </c>
      <c r="H310" t="s">
        <v>1071</v>
      </c>
      <c r="I310" t="s">
        <v>28</v>
      </c>
      <c r="J310" t="s">
        <v>29</v>
      </c>
      <c r="K310" t="s">
        <v>30</v>
      </c>
      <c r="L310" t="s">
        <v>38</v>
      </c>
      <c r="M310" s="1">
        <v>0</v>
      </c>
      <c r="N310">
        <v>0</v>
      </c>
      <c r="O310">
        <v>0</v>
      </c>
      <c r="P310">
        <v>91.25</v>
      </c>
      <c r="Q310">
        <v>0</v>
      </c>
      <c r="R310" s="2">
        <v>0</v>
      </c>
      <c r="S310">
        <v>1</v>
      </c>
      <c r="T310">
        <v>1</v>
      </c>
    </row>
    <row r="311" spans="1:20" x14ac:dyDescent="0.2">
      <c r="A311" t="s">
        <v>157</v>
      </c>
      <c r="B311" t="s">
        <v>158</v>
      </c>
      <c r="C311" t="s">
        <v>1509</v>
      </c>
      <c r="D311" t="s">
        <v>1510</v>
      </c>
      <c r="E311" t="s">
        <v>165</v>
      </c>
      <c r="F311" t="s">
        <v>25</v>
      </c>
      <c r="G311" t="s">
        <v>166</v>
      </c>
      <c r="H311" t="s">
        <v>1410</v>
      </c>
      <c r="I311" t="s">
        <v>28</v>
      </c>
      <c r="J311" t="s">
        <v>29</v>
      </c>
      <c r="K311" t="s">
        <v>46</v>
      </c>
      <c r="L311" t="s">
        <v>556</v>
      </c>
      <c r="M311" s="1">
        <v>0</v>
      </c>
      <c r="N311">
        <v>0</v>
      </c>
      <c r="O311">
        <v>0</v>
      </c>
      <c r="P311">
        <v>91.25</v>
      </c>
      <c r="Q311">
        <v>1</v>
      </c>
      <c r="R311" s="2">
        <v>0</v>
      </c>
      <c r="S311">
        <v>0</v>
      </c>
      <c r="T311">
        <v>0</v>
      </c>
    </row>
    <row r="312" spans="1:20" x14ac:dyDescent="0.2">
      <c r="A312" t="s">
        <v>157</v>
      </c>
      <c r="B312" t="s">
        <v>158</v>
      </c>
      <c r="C312" t="s">
        <v>1513</v>
      </c>
      <c r="D312" t="s">
        <v>1514</v>
      </c>
      <c r="E312" t="s">
        <v>165</v>
      </c>
      <c r="F312" t="s">
        <v>25</v>
      </c>
      <c r="G312" t="s">
        <v>166</v>
      </c>
      <c r="H312" t="s">
        <v>1410</v>
      </c>
      <c r="I312" t="s">
        <v>28</v>
      </c>
      <c r="J312" t="s">
        <v>29</v>
      </c>
      <c r="K312" t="s">
        <v>46</v>
      </c>
      <c r="L312" t="s">
        <v>556</v>
      </c>
      <c r="M312" s="1">
        <v>0</v>
      </c>
      <c r="N312">
        <v>0</v>
      </c>
      <c r="O312">
        <v>0</v>
      </c>
      <c r="P312">
        <v>91.25</v>
      </c>
      <c r="Q312">
        <v>1</v>
      </c>
      <c r="R312" s="2">
        <v>0</v>
      </c>
      <c r="S312">
        <v>0</v>
      </c>
      <c r="T312">
        <v>0</v>
      </c>
    </row>
    <row r="313" spans="1:20" x14ac:dyDescent="0.2">
      <c r="A313" t="s">
        <v>157</v>
      </c>
      <c r="B313" t="s">
        <v>158</v>
      </c>
      <c r="C313" t="s">
        <v>1550</v>
      </c>
      <c r="D313" t="s">
        <v>1551</v>
      </c>
      <c r="E313" t="s">
        <v>165</v>
      </c>
      <c r="F313" t="s">
        <v>58</v>
      </c>
      <c r="G313" t="s">
        <v>166</v>
      </c>
      <c r="H313" t="s">
        <v>1410</v>
      </c>
      <c r="I313" t="s">
        <v>28</v>
      </c>
      <c r="J313" t="s">
        <v>29</v>
      </c>
      <c r="K313" t="s">
        <v>46</v>
      </c>
      <c r="L313" t="s">
        <v>556</v>
      </c>
      <c r="M313" s="1">
        <v>0</v>
      </c>
      <c r="N313">
        <v>0</v>
      </c>
      <c r="O313">
        <v>0</v>
      </c>
      <c r="P313">
        <v>91.25</v>
      </c>
      <c r="Q313">
        <v>1</v>
      </c>
      <c r="R313" s="2">
        <v>0</v>
      </c>
      <c r="S313">
        <v>0</v>
      </c>
      <c r="T313">
        <v>0</v>
      </c>
    </row>
    <row r="314" spans="1:20" x14ac:dyDescent="0.2">
      <c r="A314" t="s">
        <v>265</v>
      </c>
      <c r="B314" t="s">
        <v>262</v>
      </c>
      <c r="C314" t="s">
        <v>1579</v>
      </c>
      <c r="D314" t="s">
        <v>1580</v>
      </c>
      <c r="E314" t="s">
        <v>165</v>
      </c>
      <c r="F314" t="s">
        <v>25</v>
      </c>
      <c r="G314" t="s">
        <v>166</v>
      </c>
      <c r="H314" t="s">
        <v>1410</v>
      </c>
      <c r="I314" t="s">
        <v>28</v>
      </c>
      <c r="J314" t="s">
        <v>29</v>
      </c>
      <c r="K314" t="s">
        <v>46</v>
      </c>
      <c r="L314" t="s">
        <v>556</v>
      </c>
      <c r="M314" s="1">
        <v>0</v>
      </c>
      <c r="N314">
        <v>0</v>
      </c>
      <c r="O314">
        <v>0</v>
      </c>
      <c r="P314">
        <v>91.25</v>
      </c>
      <c r="Q314">
        <v>1</v>
      </c>
      <c r="R314" s="2">
        <v>0</v>
      </c>
      <c r="S314">
        <v>0</v>
      </c>
      <c r="T314">
        <v>0</v>
      </c>
    </row>
    <row r="315" spans="1:20" x14ac:dyDescent="0.2">
      <c r="A315" t="s">
        <v>666</v>
      </c>
      <c r="B315" t="s">
        <v>158</v>
      </c>
      <c r="C315" t="s">
        <v>1533</v>
      </c>
      <c r="D315" t="s">
        <v>1534</v>
      </c>
      <c r="E315" t="s">
        <v>1535</v>
      </c>
      <c r="F315" t="s">
        <v>25</v>
      </c>
      <c r="G315" t="s">
        <v>1535</v>
      </c>
      <c r="H315" t="s">
        <v>1410</v>
      </c>
      <c r="I315" t="s">
        <v>28</v>
      </c>
      <c r="J315" t="s">
        <v>29</v>
      </c>
      <c r="K315" t="s">
        <v>46</v>
      </c>
      <c r="L315" t="s">
        <v>556</v>
      </c>
      <c r="M315" s="1">
        <v>0</v>
      </c>
      <c r="N315">
        <v>0</v>
      </c>
      <c r="O315">
        <v>0</v>
      </c>
      <c r="P315">
        <v>91.25</v>
      </c>
      <c r="Q315">
        <v>1</v>
      </c>
      <c r="R315" s="2">
        <v>0</v>
      </c>
      <c r="S315">
        <v>0</v>
      </c>
      <c r="T315">
        <v>0</v>
      </c>
    </row>
    <row r="316" spans="1:20" x14ac:dyDescent="0.2">
      <c r="A316" t="s">
        <v>299</v>
      </c>
      <c r="B316" t="s">
        <v>262</v>
      </c>
      <c r="C316" t="s">
        <v>300</v>
      </c>
      <c r="D316" t="s">
        <v>301</v>
      </c>
      <c r="E316" t="s">
        <v>302</v>
      </c>
      <c r="F316" t="s">
        <v>25</v>
      </c>
      <c r="G316" t="s">
        <v>303</v>
      </c>
      <c r="H316" t="s">
        <v>27</v>
      </c>
      <c r="I316" t="s">
        <v>28</v>
      </c>
      <c r="J316" t="s">
        <v>29</v>
      </c>
      <c r="K316" t="s">
        <v>46</v>
      </c>
      <c r="L316" t="s">
        <v>31</v>
      </c>
      <c r="M316" s="1">
        <v>480601.57</v>
      </c>
      <c r="N316">
        <v>1</v>
      </c>
      <c r="O316">
        <v>1</v>
      </c>
      <c r="P316">
        <v>91.25</v>
      </c>
      <c r="Q316">
        <v>0</v>
      </c>
      <c r="R316" s="2">
        <v>1</v>
      </c>
      <c r="S316">
        <v>0</v>
      </c>
      <c r="T316">
        <v>0</v>
      </c>
    </row>
    <row r="317" spans="1:20" x14ac:dyDescent="0.2">
      <c r="A317" t="s">
        <v>443</v>
      </c>
      <c r="B317" t="s">
        <v>158</v>
      </c>
      <c r="C317" t="s">
        <v>870</v>
      </c>
      <c r="D317" t="s">
        <v>871</v>
      </c>
      <c r="E317" t="s">
        <v>872</v>
      </c>
      <c r="F317" t="s">
        <v>58</v>
      </c>
      <c r="G317" t="s">
        <v>873</v>
      </c>
      <c r="H317" t="s">
        <v>748</v>
      </c>
      <c r="I317" t="s">
        <v>874</v>
      </c>
      <c r="J317" t="s">
        <v>29</v>
      </c>
      <c r="K317" t="s">
        <v>46</v>
      </c>
      <c r="L317" t="s">
        <v>38</v>
      </c>
      <c r="M317" s="1">
        <v>0</v>
      </c>
      <c r="N317">
        <v>0</v>
      </c>
      <c r="O317">
        <v>0</v>
      </c>
      <c r="P317">
        <v>91.25</v>
      </c>
      <c r="Q317">
        <v>0</v>
      </c>
      <c r="R317" s="2">
        <v>0</v>
      </c>
      <c r="S317">
        <v>1</v>
      </c>
      <c r="T317">
        <v>1</v>
      </c>
    </row>
    <row r="318" spans="1:20" x14ac:dyDescent="0.2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t="s">
        <v>7</v>
      </c>
      <c r="I318" t="s">
        <v>8</v>
      </c>
      <c r="J318" t="s">
        <v>9</v>
      </c>
      <c r="K318" t="s">
        <v>10</v>
      </c>
      <c r="L318" t="s">
        <v>11</v>
      </c>
      <c r="M318" t="s">
        <v>12</v>
      </c>
      <c r="N318" t="s">
        <v>13</v>
      </c>
      <c r="O318" t="s">
        <v>14</v>
      </c>
      <c r="P318" t="s">
        <v>15</v>
      </c>
      <c r="Q318" t="s">
        <v>16</v>
      </c>
      <c r="R318" t="s">
        <v>17</v>
      </c>
      <c r="S318" t="s">
        <v>18</v>
      </c>
      <c r="T318" t="s">
        <v>19</v>
      </c>
    </row>
    <row r="319" spans="1:20" x14ac:dyDescent="0.2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t="s">
        <v>7</v>
      </c>
      <c r="I319" t="s">
        <v>8</v>
      </c>
      <c r="J319" t="s">
        <v>9</v>
      </c>
      <c r="K319" t="s">
        <v>10</v>
      </c>
      <c r="L319" t="s">
        <v>11</v>
      </c>
      <c r="M319" t="s">
        <v>12</v>
      </c>
      <c r="N319" t="s">
        <v>13</v>
      </c>
      <c r="O319" t="s">
        <v>14</v>
      </c>
      <c r="P319" t="s">
        <v>15</v>
      </c>
      <c r="Q319" t="s">
        <v>16</v>
      </c>
      <c r="R319" t="s">
        <v>17</v>
      </c>
      <c r="S319" t="s">
        <v>18</v>
      </c>
      <c r="T319" t="s">
        <v>19</v>
      </c>
    </row>
    <row r="320" spans="1:20" x14ac:dyDescent="0.2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t="s">
        <v>7</v>
      </c>
      <c r="I320" t="s">
        <v>8</v>
      </c>
      <c r="J320" t="s">
        <v>9</v>
      </c>
      <c r="K320" t="s">
        <v>10</v>
      </c>
      <c r="L320" t="s">
        <v>11</v>
      </c>
      <c r="M320" t="s">
        <v>12</v>
      </c>
      <c r="N320" t="s">
        <v>13</v>
      </c>
      <c r="O320" t="s">
        <v>14</v>
      </c>
      <c r="P320" t="s">
        <v>15</v>
      </c>
      <c r="Q320" t="s">
        <v>16</v>
      </c>
      <c r="R320" t="s">
        <v>17</v>
      </c>
      <c r="S320" t="s">
        <v>18</v>
      </c>
      <c r="T320" t="s">
        <v>19</v>
      </c>
    </row>
    <row r="321" spans="1:20" x14ac:dyDescent="0.2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t="s">
        <v>7</v>
      </c>
      <c r="I321" t="s">
        <v>8</v>
      </c>
      <c r="J321" t="s">
        <v>9</v>
      </c>
      <c r="K321" t="s">
        <v>10</v>
      </c>
      <c r="L321" t="s">
        <v>11</v>
      </c>
      <c r="M321" t="s">
        <v>12</v>
      </c>
      <c r="N321" t="s">
        <v>13</v>
      </c>
      <c r="O321" t="s">
        <v>14</v>
      </c>
      <c r="P321" t="s">
        <v>15</v>
      </c>
      <c r="Q321" t="s">
        <v>16</v>
      </c>
      <c r="R321" t="s">
        <v>17</v>
      </c>
      <c r="S321" t="s">
        <v>18</v>
      </c>
      <c r="T321" t="s">
        <v>19</v>
      </c>
    </row>
    <row r="322" spans="1:20" x14ac:dyDescent="0.2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t="s">
        <v>7</v>
      </c>
      <c r="I322" t="s">
        <v>8</v>
      </c>
      <c r="J322" t="s">
        <v>9</v>
      </c>
      <c r="K322" t="s">
        <v>10</v>
      </c>
      <c r="L322" t="s">
        <v>11</v>
      </c>
      <c r="M322" t="s">
        <v>12</v>
      </c>
      <c r="N322" t="s">
        <v>13</v>
      </c>
      <c r="O322" t="s">
        <v>14</v>
      </c>
      <c r="P322" t="s">
        <v>15</v>
      </c>
      <c r="Q322" t="s">
        <v>16</v>
      </c>
      <c r="R322" t="s">
        <v>17</v>
      </c>
      <c r="S322" t="s">
        <v>18</v>
      </c>
      <c r="T322" t="s">
        <v>19</v>
      </c>
    </row>
    <row r="323" spans="1:20" x14ac:dyDescent="0.2">
      <c r="A323" t="s">
        <v>698</v>
      </c>
      <c r="B323" t="s">
        <v>262</v>
      </c>
      <c r="C323" t="s">
        <v>1040</v>
      </c>
      <c r="D323" t="s">
        <v>1041</v>
      </c>
      <c r="E323" t="s">
        <v>1042</v>
      </c>
      <c r="F323" t="s">
        <v>25</v>
      </c>
      <c r="G323" t="s">
        <v>1043</v>
      </c>
      <c r="H323" t="s">
        <v>748</v>
      </c>
      <c r="I323" t="s">
        <v>75</v>
      </c>
      <c r="J323" t="s">
        <v>29</v>
      </c>
      <c r="K323" t="s">
        <v>46</v>
      </c>
      <c r="L323" t="s">
        <v>556</v>
      </c>
      <c r="M323" s="1">
        <v>0</v>
      </c>
      <c r="N323">
        <v>0</v>
      </c>
      <c r="O323">
        <v>0</v>
      </c>
      <c r="P323">
        <v>91.25</v>
      </c>
      <c r="Q323">
        <v>1</v>
      </c>
      <c r="R323" s="2">
        <v>0</v>
      </c>
      <c r="S323">
        <v>0</v>
      </c>
      <c r="T323">
        <v>0</v>
      </c>
    </row>
    <row r="324" spans="1:20" x14ac:dyDescent="0.2">
      <c r="A324" t="s">
        <v>265</v>
      </c>
      <c r="B324" t="s">
        <v>262</v>
      </c>
      <c r="C324" t="s">
        <v>543</v>
      </c>
      <c r="D324" t="s">
        <v>544</v>
      </c>
      <c r="E324" t="s">
        <v>545</v>
      </c>
      <c r="F324" t="s">
        <v>25</v>
      </c>
      <c r="G324" t="s">
        <v>546</v>
      </c>
      <c r="H324" t="s">
        <v>319</v>
      </c>
      <c r="I324" t="s">
        <v>88</v>
      </c>
      <c r="J324" t="s">
        <v>29</v>
      </c>
      <c r="K324" t="s">
        <v>46</v>
      </c>
      <c r="L324" t="s">
        <v>38</v>
      </c>
      <c r="M324" s="1">
        <v>0</v>
      </c>
      <c r="N324">
        <v>0</v>
      </c>
      <c r="O324">
        <v>0</v>
      </c>
      <c r="P324">
        <v>91.25</v>
      </c>
      <c r="Q324">
        <v>0</v>
      </c>
      <c r="R324" s="2">
        <v>0</v>
      </c>
      <c r="S324">
        <v>1</v>
      </c>
      <c r="T324">
        <v>1</v>
      </c>
    </row>
    <row r="325" spans="1:20" x14ac:dyDescent="0.2">
      <c r="A325" t="s">
        <v>705</v>
      </c>
      <c r="B325" t="s">
        <v>262</v>
      </c>
      <c r="C325" t="s">
        <v>726</v>
      </c>
      <c r="D325" t="s">
        <v>727</v>
      </c>
      <c r="E325" t="s">
        <v>545</v>
      </c>
      <c r="F325" t="s">
        <v>25</v>
      </c>
      <c r="G325" t="s">
        <v>546</v>
      </c>
      <c r="H325" t="s">
        <v>550</v>
      </c>
      <c r="I325" t="s">
        <v>28</v>
      </c>
      <c r="J325" t="s">
        <v>29</v>
      </c>
      <c r="K325" t="s">
        <v>46</v>
      </c>
      <c r="L325" t="s">
        <v>38</v>
      </c>
      <c r="M325" s="1">
        <v>0</v>
      </c>
      <c r="N325">
        <v>0</v>
      </c>
      <c r="O325">
        <v>0</v>
      </c>
      <c r="P325">
        <v>91.25</v>
      </c>
      <c r="Q325">
        <v>0</v>
      </c>
      <c r="R325" s="2">
        <v>0</v>
      </c>
      <c r="S325">
        <v>1</v>
      </c>
      <c r="T325">
        <v>1</v>
      </c>
    </row>
    <row r="326" spans="1:20" x14ac:dyDescent="0.2">
      <c r="A326" t="s">
        <v>687</v>
      </c>
      <c r="B326" t="s">
        <v>250</v>
      </c>
      <c r="C326" t="s">
        <v>694</v>
      </c>
      <c r="D326" t="s">
        <v>695</v>
      </c>
      <c r="E326" t="s">
        <v>696</v>
      </c>
      <c r="F326" t="s">
        <v>25</v>
      </c>
      <c r="G326" t="s">
        <v>697</v>
      </c>
      <c r="H326" t="s">
        <v>550</v>
      </c>
      <c r="I326" t="s">
        <v>28</v>
      </c>
      <c r="J326" t="s">
        <v>29</v>
      </c>
      <c r="K326" t="s">
        <v>46</v>
      </c>
      <c r="L326" t="s">
        <v>38</v>
      </c>
      <c r="M326" s="1">
        <v>0</v>
      </c>
      <c r="N326">
        <v>0</v>
      </c>
      <c r="O326">
        <v>0</v>
      </c>
      <c r="P326">
        <v>91.25</v>
      </c>
      <c r="Q326">
        <v>0</v>
      </c>
      <c r="R326" s="2">
        <v>0</v>
      </c>
      <c r="S326">
        <v>1</v>
      </c>
      <c r="T326">
        <v>1</v>
      </c>
    </row>
    <row r="327" spans="1:20" x14ac:dyDescent="0.2">
      <c r="A327" t="s">
        <v>175</v>
      </c>
      <c r="B327" t="s">
        <v>158</v>
      </c>
      <c r="C327" t="s">
        <v>231</v>
      </c>
      <c r="D327" t="s">
        <v>232</v>
      </c>
      <c r="E327" t="s">
        <v>233</v>
      </c>
      <c r="F327" t="s">
        <v>25</v>
      </c>
      <c r="G327" t="s">
        <v>232</v>
      </c>
      <c r="H327" t="s">
        <v>27</v>
      </c>
      <c r="I327" t="s">
        <v>28</v>
      </c>
      <c r="J327" t="s">
        <v>29</v>
      </c>
      <c r="K327" t="s">
        <v>46</v>
      </c>
      <c r="L327" t="s">
        <v>38</v>
      </c>
      <c r="M327" s="1">
        <v>39999.78</v>
      </c>
      <c r="N327">
        <v>0</v>
      </c>
      <c r="O327">
        <v>1</v>
      </c>
      <c r="P327">
        <v>91.25</v>
      </c>
      <c r="Q327">
        <v>0</v>
      </c>
      <c r="R327" s="2">
        <v>1</v>
      </c>
      <c r="S327">
        <v>1</v>
      </c>
      <c r="T327">
        <v>0</v>
      </c>
    </row>
    <row r="328" spans="1:20" x14ac:dyDescent="0.2">
      <c r="A328" t="s">
        <v>277</v>
      </c>
      <c r="B328" t="s">
        <v>262</v>
      </c>
      <c r="C328" t="s">
        <v>722</v>
      </c>
      <c r="D328" t="s">
        <v>723</v>
      </c>
      <c r="E328" t="s">
        <v>724</v>
      </c>
      <c r="F328" t="s">
        <v>58</v>
      </c>
      <c r="G328" t="s">
        <v>725</v>
      </c>
      <c r="H328" t="s">
        <v>550</v>
      </c>
      <c r="I328" t="s">
        <v>28</v>
      </c>
      <c r="J328" t="s">
        <v>29</v>
      </c>
      <c r="K328" t="s">
        <v>46</v>
      </c>
      <c r="L328" t="s">
        <v>38</v>
      </c>
      <c r="M328" s="1">
        <v>0</v>
      </c>
      <c r="N328">
        <v>0</v>
      </c>
      <c r="O328">
        <v>0</v>
      </c>
      <c r="P328">
        <v>91.25</v>
      </c>
      <c r="Q328">
        <v>0</v>
      </c>
      <c r="R328" s="2">
        <v>0</v>
      </c>
      <c r="S328">
        <v>1</v>
      </c>
      <c r="T328">
        <v>1</v>
      </c>
    </row>
    <row r="329" spans="1:20" x14ac:dyDescent="0.2">
      <c r="A329" t="s">
        <v>222</v>
      </c>
      <c r="B329" t="s">
        <v>158</v>
      </c>
      <c r="C329" t="s">
        <v>1293</v>
      </c>
      <c r="D329" t="s">
        <v>1294</v>
      </c>
      <c r="E329" t="s">
        <v>1295</v>
      </c>
      <c r="F329" t="s">
        <v>25</v>
      </c>
      <c r="G329" t="s">
        <v>1294</v>
      </c>
      <c r="H329" t="s">
        <v>1071</v>
      </c>
      <c r="I329" t="s">
        <v>28</v>
      </c>
      <c r="J329" t="s">
        <v>29</v>
      </c>
      <c r="K329" t="s">
        <v>46</v>
      </c>
      <c r="L329" t="s">
        <v>556</v>
      </c>
      <c r="M329" s="1">
        <v>0</v>
      </c>
      <c r="N329">
        <v>0</v>
      </c>
      <c r="O329">
        <v>0</v>
      </c>
      <c r="P329">
        <v>91.25</v>
      </c>
      <c r="Q329">
        <v>1</v>
      </c>
      <c r="R329" s="2">
        <v>0</v>
      </c>
      <c r="S329">
        <v>0</v>
      </c>
      <c r="T329">
        <v>0</v>
      </c>
    </row>
    <row r="330" spans="1:20" x14ac:dyDescent="0.2">
      <c r="A330" t="s">
        <v>157</v>
      </c>
      <c r="B330" t="s">
        <v>158</v>
      </c>
      <c r="C330" t="s">
        <v>672</v>
      </c>
      <c r="D330" t="s">
        <v>673</v>
      </c>
      <c r="E330" t="s">
        <v>674</v>
      </c>
      <c r="F330" t="s">
        <v>25</v>
      </c>
      <c r="G330" t="s">
        <v>675</v>
      </c>
      <c r="H330" t="s">
        <v>550</v>
      </c>
      <c r="I330" t="s">
        <v>88</v>
      </c>
      <c r="J330" t="s">
        <v>29</v>
      </c>
      <c r="K330" t="s">
        <v>46</v>
      </c>
      <c r="L330" t="s">
        <v>31</v>
      </c>
      <c r="M330" s="1">
        <v>399999.69</v>
      </c>
      <c r="N330">
        <v>1</v>
      </c>
      <c r="O330">
        <v>1</v>
      </c>
      <c r="P330">
        <v>91.25</v>
      </c>
      <c r="Q330">
        <v>0</v>
      </c>
      <c r="R330" s="2">
        <v>1</v>
      </c>
      <c r="S330">
        <v>0</v>
      </c>
      <c r="T330">
        <v>0</v>
      </c>
    </row>
    <row r="331" spans="1:20" x14ac:dyDescent="0.2">
      <c r="A331" t="s">
        <v>265</v>
      </c>
      <c r="B331" t="s">
        <v>262</v>
      </c>
      <c r="C331" t="s">
        <v>283</v>
      </c>
      <c r="D331" t="s">
        <v>284</v>
      </c>
      <c r="E331" t="s">
        <v>285</v>
      </c>
      <c r="F331" t="s">
        <v>25</v>
      </c>
      <c r="G331" t="s">
        <v>286</v>
      </c>
      <c r="H331" t="s">
        <v>27</v>
      </c>
      <c r="I331" t="s">
        <v>28</v>
      </c>
      <c r="J331" t="s">
        <v>29</v>
      </c>
      <c r="K331" t="s">
        <v>46</v>
      </c>
      <c r="L331" t="s">
        <v>31</v>
      </c>
      <c r="M331" s="1">
        <v>0</v>
      </c>
      <c r="N331">
        <v>1</v>
      </c>
      <c r="O331">
        <v>1</v>
      </c>
      <c r="P331">
        <v>91.25</v>
      </c>
      <c r="Q331">
        <v>0</v>
      </c>
      <c r="R331" s="2">
        <v>1</v>
      </c>
      <c r="S331">
        <v>0</v>
      </c>
      <c r="T331">
        <v>0</v>
      </c>
    </row>
    <row r="332" spans="1:20" x14ac:dyDescent="0.2">
      <c r="A332" t="s">
        <v>265</v>
      </c>
      <c r="B332" t="s">
        <v>262</v>
      </c>
      <c r="C332" t="s">
        <v>287</v>
      </c>
      <c r="D332" t="s">
        <v>288</v>
      </c>
      <c r="E332" t="s">
        <v>285</v>
      </c>
      <c r="F332" t="s">
        <v>25</v>
      </c>
      <c r="G332" t="s">
        <v>286</v>
      </c>
      <c r="H332" t="s">
        <v>27</v>
      </c>
      <c r="I332" t="s">
        <v>28</v>
      </c>
      <c r="J332" t="s">
        <v>29</v>
      </c>
      <c r="K332" t="s">
        <v>46</v>
      </c>
      <c r="L332" t="s">
        <v>31</v>
      </c>
      <c r="M332" s="1">
        <v>4500000.6399999997</v>
      </c>
      <c r="N332">
        <v>1</v>
      </c>
      <c r="O332">
        <v>1</v>
      </c>
      <c r="P332">
        <v>91.25</v>
      </c>
      <c r="Q332">
        <v>0</v>
      </c>
      <c r="R332" s="2">
        <v>1</v>
      </c>
      <c r="S332">
        <v>0</v>
      </c>
      <c r="T332">
        <v>0</v>
      </c>
    </row>
    <row r="333" spans="1:20" x14ac:dyDescent="0.2">
      <c r="A333" t="s">
        <v>265</v>
      </c>
      <c r="B333" t="s">
        <v>262</v>
      </c>
      <c r="C333" t="s">
        <v>289</v>
      </c>
      <c r="D333" t="s">
        <v>290</v>
      </c>
      <c r="E333" t="s">
        <v>285</v>
      </c>
      <c r="F333" t="s">
        <v>25</v>
      </c>
      <c r="G333" t="s">
        <v>286</v>
      </c>
      <c r="H333" t="s">
        <v>27</v>
      </c>
      <c r="I333" t="s">
        <v>28</v>
      </c>
      <c r="J333" t="s">
        <v>29</v>
      </c>
      <c r="K333" t="s">
        <v>46</v>
      </c>
      <c r="L333" t="s">
        <v>31</v>
      </c>
      <c r="M333" s="1">
        <v>0</v>
      </c>
      <c r="N333">
        <v>1</v>
      </c>
      <c r="O333">
        <v>1</v>
      </c>
      <c r="P333">
        <v>91.25</v>
      </c>
      <c r="Q333">
        <v>0</v>
      </c>
      <c r="R333" s="2">
        <v>1</v>
      </c>
      <c r="S333">
        <v>0</v>
      </c>
      <c r="T333">
        <v>0</v>
      </c>
    </row>
    <row r="334" spans="1:20" x14ac:dyDescent="0.2">
      <c r="A334" t="s">
        <v>265</v>
      </c>
      <c r="B334" t="s">
        <v>262</v>
      </c>
      <c r="C334" t="s">
        <v>291</v>
      </c>
      <c r="D334" t="s">
        <v>292</v>
      </c>
      <c r="E334" t="s">
        <v>285</v>
      </c>
      <c r="F334" t="s">
        <v>25</v>
      </c>
      <c r="G334" t="s">
        <v>286</v>
      </c>
      <c r="H334" t="s">
        <v>27</v>
      </c>
      <c r="I334" t="s">
        <v>28</v>
      </c>
      <c r="J334" t="s">
        <v>29</v>
      </c>
      <c r="K334" t="s">
        <v>46</v>
      </c>
      <c r="L334" t="s">
        <v>31</v>
      </c>
      <c r="M334" s="1">
        <v>0</v>
      </c>
      <c r="N334">
        <v>1</v>
      </c>
      <c r="O334">
        <v>1</v>
      </c>
      <c r="P334">
        <v>91.25</v>
      </c>
      <c r="Q334">
        <v>0</v>
      </c>
      <c r="R334" s="2">
        <v>1</v>
      </c>
      <c r="S334">
        <v>0</v>
      </c>
      <c r="T334">
        <v>0</v>
      </c>
    </row>
    <row r="335" spans="1:20" x14ac:dyDescent="0.2">
      <c r="A335" t="s">
        <v>307</v>
      </c>
      <c r="B335" t="s">
        <v>262</v>
      </c>
      <c r="C335" t="s">
        <v>1355</v>
      </c>
      <c r="D335" t="s">
        <v>1356</v>
      </c>
      <c r="E335" t="s">
        <v>285</v>
      </c>
      <c r="F335" t="s">
        <v>58</v>
      </c>
      <c r="G335" t="s">
        <v>286</v>
      </c>
      <c r="H335" t="s">
        <v>1071</v>
      </c>
      <c r="I335" t="s">
        <v>28</v>
      </c>
      <c r="J335" t="s">
        <v>29</v>
      </c>
      <c r="K335" t="s">
        <v>46</v>
      </c>
      <c r="L335" t="s">
        <v>31</v>
      </c>
      <c r="M335" s="1">
        <v>237269.56</v>
      </c>
      <c r="N335">
        <v>1</v>
      </c>
      <c r="O335">
        <v>1</v>
      </c>
      <c r="P335">
        <v>91.25</v>
      </c>
      <c r="Q335">
        <v>0</v>
      </c>
      <c r="R335" s="2">
        <v>1</v>
      </c>
      <c r="S335">
        <v>0</v>
      </c>
      <c r="T335">
        <v>0</v>
      </c>
    </row>
    <row r="336" spans="1:20" x14ac:dyDescent="0.2">
      <c r="A336" t="s">
        <v>120</v>
      </c>
      <c r="B336" t="s">
        <v>21</v>
      </c>
      <c r="C336" t="s">
        <v>121</v>
      </c>
      <c r="D336" t="s">
        <v>122</v>
      </c>
      <c r="E336" t="s">
        <v>123</v>
      </c>
      <c r="F336" t="s">
        <v>25</v>
      </c>
      <c r="G336" t="s">
        <v>124</v>
      </c>
      <c r="H336" t="s">
        <v>27</v>
      </c>
      <c r="I336" t="s">
        <v>125</v>
      </c>
      <c r="J336" t="s">
        <v>45</v>
      </c>
      <c r="K336" t="s">
        <v>46</v>
      </c>
      <c r="L336" t="s">
        <v>38</v>
      </c>
      <c r="M336" s="1">
        <v>0</v>
      </c>
      <c r="N336">
        <v>0</v>
      </c>
      <c r="O336">
        <v>0</v>
      </c>
      <c r="P336">
        <v>91.25</v>
      </c>
      <c r="Q336">
        <v>0</v>
      </c>
      <c r="R336" s="2">
        <v>0</v>
      </c>
      <c r="S336">
        <v>1</v>
      </c>
      <c r="T336">
        <v>1</v>
      </c>
    </row>
    <row r="337" spans="1:20" x14ac:dyDescent="0.2">
      <c r="A337" t="s">
        <v>361</v>
      </c>
      <c r="B337" t="s">
        <v>21</v>
      </c>
      <c r="C337" t="s">
        <v>796</v>
      </c>
      <c r="D337" t="s">
        <v>797</v>
      </c>
      <c r="E337" t="s">
        <v>123</v>
      </c>
      <c r="F337" t="s">
        <v>25</v>
      </c>
      <c r="G337" t="s">
        <v>124</v>
      </c>
      <c r="H337" t="s">
        <v>748</v>
      </c>
      <c r="I337" t="s">
        <v>125</v>
      </c>
      <c r="J337" t="s">
        <v>45</v>
      </c>
      <c r="K337" t="s">
        <v>46</v>
      </c>
      <c r="L337" t="s">
        <v>38</v>
      </c>
      <c r="M337" s="1">
        <v>0</v>
      </c>
      <c r="N337">
        <v>0</v>
      </c>
      <c r="O337">
        <v>0</v>
      </c>
      <c r="P337">
        <v>91.25</v>
      </c>
      <c r="Q337">
        <v>0</v>
      </c>
      <c r="R337" s="2">
        <v>0</v>
      </c>
      <c r="S337">
        <v>1</v>
      </c>
      <c r="T337">
        <v>1</v>
      </c>
    </row>
    <row r="338" spans="1:20" x14ac:dyDescent="0.2">
      <c r="A338" t="s">
        <v>54</v>
      </c>
      <c r="B338" t="s">
        <v>21</v>
      </c>
      <c r="C338" t="s">
        <v>55</v>
      </c>
      <c r="D338" t="s">
        <v>56</v>
      </c>
      <c r="E338" t="s">
        <v>57</v>
      </c>
      <c r="F338" t="s">
        <v>58</v>
      </c>
      <c r="G338" t="s">
        <v>59</v>
      </c>
      <c r="H338" t="s">
        <v>27</v>
      </c>
      <c r="I338" t="s">
        <v>60</v>
      </c>
      <c r="J338" t="s">
        <v>29</v>
      </c>
      <c r="K338" t="s">
        <v>46</v>
      </c>
      <c r="L338" t="s">
        <v>38</v>
      </c>
      <c r="M338" s="1">
        <v>0</v>
      </c>
      <c r="N338">
        <v>0</v>
      </c>
      <c r="O338">
        <v>0</v>
      </c>
      <c r="P338">
        <v>91.25</v>
      </c>
      <c r="Q338">
        <v>0</v>
      </c>
      <c r="R338" s="2">
        <v>0</v>
      </c>
      <c r="S338">
        <v>1</v>
      </c>
      <c r="T338">
        <v>1</v>
      </c>
    </row>
    <row r="339" spans="1:20" x14ac:dyDescent="0.2">
      <c r="A339" t="s">
        <v>146</v>
      </c>
      <c r="B339" t="s">
        <v>21</v>
      </c>
      <c r="C339" t="s">
        <v>147</v>
      </c>
      <c r="D339" t="s">
        <v>148</v>
      </c>
      <c r="E339" t="s">
        <v>57</v>
      </c>
      <c r="F339" t="s">
        <v>25</v>
      </c>
      <c r="G339" t="s">
        <v>59</v>
      </c>
      <c r="H339" t="s">
        <v>27</v>
      </c>
      <c r="I339" t="s">
        <v>60</v>
      </c>
      <c r="J339" t="s">
        <v>29</v>
      </c>
      <c r="K339" t="s">
        <v>46</v>
      </c>
      <c r="L339" t="s">
        <v>38</v>
      </c>
      <c r="M339" s="1">
        <v>0</v>
      </c>
      <c r="N339">
        <v>0</v>
      </c>
      <c r="O339">
        <v>0</v>
      </c>
      <c r="P339">
        <v>91.25</v>
      </c>
      <c r="Q339">
        <v>0</v>
      </c>
      <c r="R339" s="2">
        <v>0</v>
      </c>
      <c r="S339">
        <v>1</v>
      </c>
      <c r="T339">
        <v>1</v>
      </c>
    </row>
    <row r="340" spans="1:20" x14ac:dyDescent="0.2">
      <c r="A340" t="s">
        <v>20</v>
      </c>
      <c r="B340" t="s">
        <v>250</v>
      </c>
      <c r="C340" t="s">
        <v>679</v>
      </c>
      <c r="D340" t="s">
        <v>680</v>
      </c>
      <c r="E340" t="s">
        <v>57</v>
      </c>
      <c r="F340" t="s">
        <v>25</v>
      </c>
      <c r="G340" t="s">
        <v>59</v>
      </c>
      <c r="H340" t="s">
        <v>550</v>
      </c>
      <c r="I340" t="s">
        <v>60</v>
      </c>
      <c r="J340" t="s">
        <v>29</v>
      </c>
      <c r="K340" t="s">
        <v>46</v>
      </c>
      <c r="L340" t="s">
        <v>38</v>
      </c>
      <c r="M340" s="1">
        <v>0</v>
      </c>
      <c r="N340">
        <v>0</v>
      </c>
      <c r="O340">
        <v>0</v>
      </c>
      <c r="P340">
        <v>91.25</v>
      </c>
      <c r="Q340">
        <v>0</v>
      </c>
      <c r="R340" s="2">
        <v>0</v>
      </c>
      <c r="S340">
        <v>1</v>
      </c>
      <c r="T340">
        <v>1</v>
      </c>
    </row>
    <row r="341" spans="1:20" x14ac:dyDescent="0.2">
      <c r="A341" t="s">
        <v>277</v>
      </c>
      <c r="B341" t="s">
        <v>262</v>
      </c>
      <c r="C341" t="s">
        <v>703</v>
      </c>
      <c r="D341" t="s">
        <v>704</v>
      </c>
      <c r="E341" t="s">
        <v>57</v>
      </c>
      <c r="F341" t="s">
        <v>58</v>
      </c>
      <c r="G341" t="s">
        <v>59</v>
      </c>
      <c r="H341" t="s">
        <v>550</v>
      </c>
      <c r="I341" t="s">
        <v>60</v>
      </c>
      <c r="J341" t="s">
        <v>29</v>
      </c>
      <c r="K341" t="s">
        <v>46</v>
      </c>
      <c r="L341" t="s">
        <v>31</v>
      </c>
      <c r="M341" s="1">
        <v>1806.9</v>
      </c>
      <c r="N341">
        <v>1</v>
      </c>
      <c r="O341">
        <v>1</v>
      </c>
      <c r="P341">
        <v>91.25</v>
      </c>
      <c r="Q341">
        <v>0</v>
      </c>
      <c r="R341" s="2">
        <v>1</v>
      </c>
      <c r="S341">
        <v>0</v>
      </c>
      <c r="T341">
        <v>0</v>
      </c>
    </row>
    <row r="342" spans="1:20" x14ac:dyDescent="0.2">
      <c r="A342" t="s">
        <v>307</v>
      </c>
      <c r="B342" t="s">
        <v>262</v>
      </c>
      <c r="C342" t="s">
        <v>708</v>
      </c>
      <c r="D342" t="s">
        <v>57</v>
      </c>
      <c r="E342" t="s">
        <v>57</v>
      </c>
      <c r="F342" t="s">
        <v>25</v>
      </c>
      <c r="G342" t="s">
        <v>59</v>
      </c>
      <c r="H342" t="s">
        <v>550</v>
      </c>
      <c r="I342" t="s">
        <v>28</v>
      </c>
      <c r="J342" t="s">
        <v>29</v>
      </c>
      <c r="K342" t="s">
        <v>46</v>
      </c>
      <c r="L342" t="s">
        <v>38</v>
      </c>
      <c r="M342" s="1">
        <v>0</v>
      </c>
      <c r="N342">
        <v>0</v>
      </c>
      <c r="O342">
        <v>0</v>
      </c>
      <c r="P342">
        <v>91.25</v>
      </c>
      <c r="Q342">
        <v>0</v>
      </c>
      <c r="R342" s="2">
        <v>0</v>
      </c>
      <c r="S342">
        <v>1</v>
      </c>
      <c r="T342">
        <v>1</v>
      </c>
    </row>
    <row r="343" spans="1:20" x14ac:dyDescent="0.2">
      <c r="A343" t="s">
        <v>307</v>
      </c>
      <c r="B343" t="s">
        <v>262</v>
      </c>
      <c r="C343" t="s">
        <v>718</v>
      </c>
      <c r="D343" t="s">
        <v>719</v>
      </c>
      <c r="E343" t="s">
        <v>57</v>
      </c>
      <c r="F343" t="s">
        <v>25</v>
      </c>
      <c r="G343" t="s">
        <v>59</v>
      </c>
      <c r="H343" t="s">
        <v>550</v>
      </c>
      <c r="I343" t="s">
        <v>28</v>
      </c>
      <c r="J343" t="s">
        <v>29</v>
      </c>
      <c r="K343" t="s">
        <v>46</v>
      </c>
      <c r="L343" t="s">
        <v>38</v>
      </c>
      <c r="M343" s="1">
        <v>0</v>
      </c>
      <c r="N343">
        <v>0</v>
      </c>
      <c r="O343">
        <v>0</v>
      </c>
      <c r="P343">
        <v>91.25</v>
      </c>
      <c r="Q343">
        <v>0</v>
      </c>
      <c r="R343" s="2">
        <v>0</v>
      </c>
      <c r="S343">
        <v>1</v>
      </c>
      <c r="T343">
        <v>1</v>
      </c>
    </row>
    <row r="344" spans="1:20" x14ac:dyDescent="0.2">
      <c r="A344" t="s">
        <v>859</v>
      </c>
      <c r="B344" t="s">
        <v>158</v>
      </c>
      <c r="C344" t="s">
        <v>860</v>
      </c>
      <c r="D344" t="s">
        <v>861</v>
      </c>
      <c r="E344" t="s">
        <v>57</v>
      </c>
      <c r="F344" t="s">
        <v>25</v>
      </c>
      <c r="G344" t="s">
        <v>59</v>
      </c>
      <c r="H344" t="s">
        <v>748</v>
      </c>
      <c r="I344" t="s">
        <v>28</v>
      </c>
      <c r="J344" t="s">
        <v>29</v>
      </c>
      <c r="K344" t="s">
        <v>46</v>
      </c>
      <c r="L344" t="s">
        <v>38</v>
      </c>
      <c r="M344" s="1">
        <v>0</v>
      </c>
      <c r="N344">
        <v>0</v>
      </c>
      <c r="O344">
        <v>0</v>
      </c>
      <c r="P344">
        <v>91.25</v>
      </c>
      <c r="Q344">
        <v>0</v>
      </c>
      <c r="R344" s="2">
        <v>0</v>
      </c>
      <c r="S344">
        <v>1</v>
      </c>
      <c r="T344">
        <v>1</v>
      </c>
    </row>
    <row r="345" spans="1:20" x14ac:dyDescent="0.2">
      <c r="A345" t="s">
        <v>265</v>
      </c>
      <c r="B345" t="s">
        <v>262</v>
      </c>
      <c r="C345" t="s">
        <v>1052</v>
      </c>
      <c r="D345" t="s">
        <v>1053</v>
      </c>
      <c r="E345" t="s">
        <v>57</v>
      </c>
      <c r="F345" t="s">
        <v>25</v>
      </c>
      <c r="G345" t="s">
        <v>59</v>
      </c>
      <c r="H345" t="s">
        <v>748</v>
      </c>
      <c r="I345" t="s">
        <v>28</v>
      </c>
      <c r="J345" t="s">
        <v>29</v>
      </c>
      <c r="K345" t="s">
        <v>46</v>
      </c>
      <c r="L345" t="s">
        <v>38</v>
      </c>
      <c r="M345" s="1">
        <v>0</v>
      </c>
      <c r="N345">
        <v>0</v>
      </c>
      <c r="O345">
        <v>0</v>
      </c>
      <c r="P345">
        <v>91.25</v>
      </c>
      <c r="Q345">
        <v>0</v>
      </c>
      <c r="R345" s="2">
        <v>0</v>
      </c>
      <c r="S345">
        <v>1</v>
      </c>
      <c r="T345">
        <v>1</v>
      </c>
    </row>
    <row r="346" spans="1:20" x14ac:dyDescent="0.2">
      <c r="A346" t="s">
        <v>39</v>
      </c>
      <c r="B346" t="s">
        <v>21</v>
      </c>
      <c r="C346" t="s">
        <v>422</v>
      </c>
      <c r="D346" t="s">
        <v>423</v>
      </c>
      <c r="E346" t="s">
        <v>424</v>
      </c>
      <c r="F346" t="s">
        <v>25</v>
      </c>
      <c r="G346" t="s">
        <v>425</v>
      </c>
      <c r="H346" t="s">
        <v>319</v>
      </c>
      <c r="I346" t="s">
        <v>28</v>
      </c>
      <c r="J346" t="s">
        <v>29</v>
      </c>
      <c r="K346" t="s">
        <v>46</v>
      </c>
      <c r="L346" t="s">
        <v>38</v>
      </c>
      <c r="M346" s="1">
        <v>0</v>
      </c>
      <c r="N346">
        <v>0</v>
      </c>
      <c r="O346">
        <v>0</v>
      </c>
      <c r="P346">
        <v>91.25</v>
      </c>
      <c r="Q346">
        <v>0</v>
      </c>
      <c r="R346" s="2">
        <v>0</v>
      </c>
      <c r="S346">
        <v>1</v>
      </c>
      <c r="T346">
        <v>1</v>
      </c>
    </row>
    <row r="347" spans="1:20" x14ac:dyDescent="0.2">
      <c r="A347" t="s">
        <v>219</v>
      </c>
      <c r="B347" t="s">
        <v>158</v>
      </c>
      <c r="C347" t="s">
        <v>631</v>
      </c>
      <c r="D347" t="s">
        <v>632</v>
      </c>
      <c r="E347" t="s">
        <v>424</v>
      </c>
      <c r="F347" t="s">
        <v>25</v>
      </c>
      <c r="G347" t="s">
        <v>425</v>
      </c>
      <c r="H347" t="s">
        <v>550</v>
      </c>
      <c r="I347" t="s">
        <v>28</v>
      </c>
      <c r="J347" t="s">
        <v>29</v>
      </c>
      <c r="K347" t="s">
        <v>30</v>
      </c>
      <c r="L347" t="s">
        <v>38</v>
      </c>
      <c r="M347" s="1">
        <v>0</v>
      </c>
      <c r="N347">
        <v>0</v>
      </c>
      <c r="O347">
        <v>0</v>
      </c>
      <c r="P347">
        <v>91.25</v>
      </c>
      <c r="Q347">
        <v>0</v>
      </c>
      <c r="R347" s="2">
        <v>0</v>
      </c>
      <c r="S347">
        <v>1</v>
      </c>
      <c r="T347">
        <v>1</v>
      </c>
    </row>
    <row r="348" spans="1:20" x14ac:dyDescent="0.2">
      <c r="A348" t="s">
        <v>698</v>
      </c>
      <c r="B348" t="s">
        <v>262</v>
      </c>
      <c r="C348" t="s">
        <v>699</v>
      </c>
      <c r="D348" t="s">
        <v>700</v>
      </c>
      <c r="E348" t="s">
        <v>424</v>
      </c>
      <c r="F348" t="s">
        <v>25</v>
      </c>
      <c r="G348" t="s">
        <v>425</v>
      </c>
      <c r="H348" t="s">
        <v>550</v>
      </c>
      <c r="I348" t="s">
        <v>28</v>
      </c>
      <c r="J348" t="s">
        <v>29</v>
      </c>
      <c r="K348" t="s">
        <v>30</v>
      </c>
      <c r="L348" t="s">
        <v>31</v>
      </c>
      <c r="M348" s="1">
        <v>371753.72</v>
      </c>
      <c r="N348">
        <v>1</v>
      </c>
      <c r="O348">
        <v>1</v>
      </c>
      <c r="P348">
        <v>91.25</v>
      </c>
      <c r="Q348">
        <v>0</v>
      </c>
      <c r="R348" s="2">
        <v>1</v>
      </c>
      <c r="S348">
        <v>0</v>
      </c>
      <c r="T348">
        <v>0</v>
      </c>
    </row>
    <row r="349" spans="1:20" x14ac:dyDescent="0.2">
      <c r="A349" t="s">
        <v>237</v>
      </c>
      <c r="B349" t="s">
        <v>158</v>
      </c>
      <c r="C349" t="s">
        <v>1482</v>
      </c>
      <c r="D349" t="s">
        <v>1483</v>
      </c>
      <c r="E349" t="s">
        <v>1484</v>
      </c>
      <c r="F349" t="s">
        <v>25</v>
      </c>
      <c r="G349" t="s">
        <v>1485</v>
      </c>
      <c r="H349" t="s">
        <v>1410</v>
      </c>
      <c r="I349" t="s">
        <v>28</v>
      </c>
      <c r="J349" t="s">
        <v>29</v>
      </c>
      <c r="K349" t="s">
        <v>46</v>
      </c>
      <c r="L349" t="s">
        <v>556</v>
      </c>
      <c r="M349" s="1">
        <v>0</v>
      </c>
      <c r="N349">
        <v>0</v>
      </c>
      <c r="O349">
        <v>0</v>
      </c>
      <c r="P349">
        <v>91.25</v>
      </c>
      <c r="Q349">
        <v>1</v>
      </c>
      <c r="R349" s="2">
        <v>0</v>
      </c>
      <c r="S349">
        <v>0</v>
      </c>
      <c r="T349">
        <v>0</v>
      </c>
    </row>
    <row r="350" spans="1:20" x14ac:dyDescent="0.2">
      <c r="A350" t="s">
        <v>384</v>
      </c>
      <c r="B350" t="s">
        <v>21</v>
      </c>
      <c r="C350" t="s">
        <v>385</v>
      </c>
      <c r="D350" t="s">
        <v>386</v>
      </c>
      <c r="E350" t="s">
        <v>101</v>
      </c>
      <c r="F350" t="s">
        <v>25</v>
      </c>
      <c r="G350" t="s">
        <v>102</v>
      </c>
      <c r="H350" t="s">
        <v>319</v>
      </c>
      <c r="I350" t="s">
        <v>387</v>
      </c>
      <c r="J350" t="s">
        <v>45</v>
      </c>
      <c r="K350" t="s">
        <v>46</v>
      </c>
      <c r="L350" t="s">
        <v>38</v>
      </c>
      <c r="M350" s="1">
        <v>0</v>
      </c>
      <c r="N350">
        <v>0</v>
      </c>
      <c r="O350">
        <v>0</v>
      </c>
      <c r="P350">
        <v>91.25</v>
      </c>
      <c r="Q350">
        <v>0</v>
      </c>
      <c r="R350" s="2">
        <v>0</v>
      </c>
      <c r="S350">
        <v>1</v>
      </c>
      <c r="T350">
        <v>1</v>
      </c>
    </row>
    <row r="351" spans="1:20" x14ac:dyDescent="0.2">
      <c r="A351" t="s">
        <v>345</v>
      </c>
      <c r="B351" t="s">
        <v>21</v>
      </c>
      <c r="C351" t="s">
        <v>388</v>
      </c>
      <c r="D351" t="s">
        <v>389</v>
      </c>
      <c r="E351" t="s">
        <v>101</v>
      </c>
      <c r="F351" t="s">
        <v>25</v>
      </c>
      <c r="G351" t="s">
        <v>102</v>
      </c>
      <c r="H351" t="s">
        <v>319</v>
      </c>
      <c r="I351" t="s">
        <v>387</v>
      </c>
      <c r="J351" t="s">
        <v>45</v>
      </c>
      <c r="K351" t="s">
        <v>46</v>
      </c>
      <c r="L351" t="s">
        <v>38</v>
      </c>
      <c r="M351" s="1">
        <v>0</v>
      </c>
      <c r="N351">
        <v>0</v>
      </c>
      <c r="O351">
        <v>0</v>
      </c>
      <c r="P351">
        <v>91.25</v>
      </c>
      <c r="Q351">
        <v>0</v>
      </c>
      <c r="R351" s="2">
        <v>0</v>
      </c>
      <c r="S351">
        <v>1</v>
      </c>
      <c r="T351">
        <v>1</v>
      </c>
    </row>
    <row r="352" spans="1:20" x14ac:dyDescent="0.2">
      <c r="A352" t="s">
        <v>98</v>
      </c>
      <c r="B352" t="s">
        <v>21</v>
      </c>
      <c r="C352" t="s">
        <v>390</v>
      </c>
      <c r="D352" t="s">
        <v>391</v>
      </c>
      <c r="E352" t="s">
        <v>101</v>
      </c>
      <c r="F352" t="s">
        <v>25</v>
      </c>
      <c r="G352" t="s">
        <v>102</v>
      </c>
      <c r="H352" t="s">
        <v>319</v>
      </c>
      <c r="I352" t="s">
        <v>387</v>
      </c>
      <c r="J352" t="s">
        <v>45</v>
      </c>
      <c r="K352" t="s">
        <v>46</v>
      </c>
      <c r="L352" t="s">
        <v>38</v>
      </c>
      <c r="M352" s="1">
        <v>0</v>
      </c>
      <c r="N352">
        <v>0</v>
      </c>
      <c r="O352">
        <v>0</v>
      </c>
      <c r="P352">
        <v>91.25</v>
      </c>
      <c r="Q352">
        <v>0</v>
      </c>
      <c r="R352" s="2">
        <v>0</v>
      </c>
      <c r="S352">
        <v>1</v>
      </c>
      <c r="T352">
        <v>1</v>
      </c>
    </row>
    <row r="353" spans="1:20" x14ac:dyDescent="0.2">
      <c r="A353" t="s">
        <v>809</v>
      </c>
      <c r="B353" t="s">
        <v>21</v>
      </c>
      <c r="C353" t="s">
        <v>810</v>
      </c>
      <c r="D353" t="s">
        <v>811</v>
      </c>
      <c r="E353" t="s">
        <v>101</v>
      </c>
      <c r="F353" t="s">
        <v>25</v>
      </c>
      <c r="G353" t="s">
        <v>102</v>
      </c>
      <c r="H353" t="s">
        <v>748</v>
      </c>
      <c r="I353" t="s">
        <v>387</v>
      </c>
      <c r="J353" t="s">
        <v>45</v>
      </c>
      <c r="K353" t="s">
        <v>46</v>
      </c>
      <c r="L353" t="s">
        <v>38</v>
      </c>
      <c r="M353" s="1">
        <v>0</v>
      </c>
      <c r="N353">
        <v>0</v>
      </c>
      <c r="O353">
        <v>0</v>
      </c>
      <c r="P353">
        <v>91.25</v>
      </c>
      <c r="Q353">
        <v>0</v>
      </c>
      <c r="R353" s="2">
        <v>0</v>
      </c>
      <c r="S353">
        <v>1</v>
      </c>
      <c r="T353">
        <v>1</v>
      </c>
    </row>
    <row r="354" spans="1:20" x14ac:dyDescent="0.2">
      <c r="A354" t="s">
        <v>1147</v>
      </c>
      <c r="B354" t="s">
        <v>21</v>
      </c>
      <c r="C354" t="s">
        <v>1148</v>
      </c>
      <c r="D354" t="s">
        <v>1149</v>
      </c>
      <c r="E354" t="s">
        <v>101</v>
      </c>
      <c r="F354" t="s">
        <v>25</v>
      </c>
      <c r="G354" t="s">
        <v>102</v>
      </c>
      <c r="H354" t="s">
        <v>1071</v>
      </c>
      <c r="I354" t="s">
        <v>387</v>
      </c>
      <c r="J354" t="s">
        <v>45</v>
      </c>
      <c r="K354" t="s">
        <v>46</v>
      </c>
      <c r="L354" t="s">
        <v>38</v>
      </c>
      <c r="M354" s="1">
        <v>0</v>
      </c>
      <c r="N354">
        <v>0</v>
      </c>
      <c r="O354">
        <v>0</v>
      </c>
      <c r="P354">
        <v>91.25</v>
      </c>
      <c r="Q354">
        <v>0</v>
      </c>
      <c r="R354" s="2">
        <v>0</v>
      </c>
      <c r="S354">
        <v>1</v>
      </c>
      <c r="T354">
        <v>1</v>
      </c>
    </row>
    <row r="355" spans="1:20" x14ac:dyDescent="0.2">
      <c r="A355" t="s">
        <v>1150</v>
      </c>
      <c r="B355" t="s">
        <v>21</v>
      </c>
      <c r="C355" t="s">
        <v>1151</v>
      </c>
      <c r="D355" t="s">
        <v>1152</v>
      </c>
      <c r="E355" t="s">
        <v>101</v>
      </c>
      <c r="F355" t="s">
        <v>25</v>
      </c>
      <c r="G355" t="s">
        <v>102</v>
      </c>
      <c r="H355" t="s">
        <v>1071</v>
      </c>
      <c r="I355" t="s">
        <v>387</v>
      </c>
      <c r="J355" t="s">
        <v>45</v>
      </c>
      <c r="K355" t="s">
        <v>46</v>
      </c>
      <c r="L355" t="s">
        <v>556</v>
      </c>
      <c r="M355" s="1">
        <v>0</v>
      </c>
      <c r="N355">
        <v>0</v>
      </c>
      <c r="O355">
        <v>0</v>
      </c>
      <c r="P355">
        <v>91.25</v>
      </c>
      <c r="Q355">
        <v>1</v>
      </c>
      <c r="R355" s="2">
        <v>0</v>
      </c>
      <c r="S355">
        <v>0</v>
      </c>
      <c r="T355">
        <v>0</v>
      </c>
    </row>
    <row r="356" spans="1:20" x14ac:dyDescent="0.2">
      <c r="A356" t="s">
        <v>1240</v>
      </c>
      <c r="B356" t="s">
        <v>158</v>
      </c>
      <c r="C356" t="s">
        <v>1277</v>
      </c>
      <c r="D356" t="s">
        <v>1278</v>
      </c>
      <c r="E356" t="s">
        <v>101</v>
      </c>
      <c r="F356" t="s">
        <v>25</v>
      </c>
      <c r="G356" t="s">
        <v>102</v>
      </c>
      <c r="H356" t="s">
        <v>1071</v>
      </c>
      <c r="I356" t="s">
        <v>387</v>
      </c>
      <c r="J356" t="s">
        <v>45</v>
      </c>
      <c r="K356" t="s">
        <v>46</v>
      </c>
      <c r="L356" t="s">
        <v>38</v>
      </c>
      <c r="M356" s="1">
        <v>0</v>
      </c>
      <c r="N356">
        <v>0</v>
      </c>
      <c r="O356">
        <v>0</v>
      </c>
      <c r="P356">
        <v>91.25</v>
      </c>
      <c r="Q356">
        <v>0</v>
      </c>
      <c r="R356" s="2">
        <v>0</v>
      </c>
      <c r="S356">
        <v>1</v>
      </c>
      <c r="T356">
        <v>1</v>
      </c>
    </row>
    <row r="357" spans="1:20" x14ac:dyDescent="0.2">
      <c r="A357" t="s">
        <v>98</v>
      </c>
      <c r="B357" t="s">
        <v>21</v>
      </c>
      <c r="C357" t="s">
        <v>99</v>
      </c>
      <c r="D357" t="s">
        <v>100</v>
      </c>
      <c r="E357" t="s">
        <v>101</v>
      </c>
      <c r="F357" t="s">
        <v>25</v>
      </c>
      <c r="G357" t="s">
        <v>102</v>
      </c>
      <c r="H357" t="s">
        <v>27</v>
      </c>
      <c r="I357" t="s">
        <v>103</v>
      </c>
      <c r="J357" t="s">
        <v>29</v>
      </c>
      <c r="K357" t="s">
        <v>46</v>
      </c>
      <c r="L357" t="s">
        <v>38</v>
      </c>
      <c r="M357" s="1">
        <v>0</v>
      </c>
      <c r="N357">
        <v>0</v>
      </c>
      <c r="O357">
        <v>0</v>
      </c>
      <c r="P357">
        <v>91.25</v>
      </c>
      <c r="Q357">
        <v>0</v>
      </c>
      <c r="R357" s="2">
        <v>0</v>
      </c>
      <c r="S357">
        <v>1</v>
      </c>
      <c r="T357">
        <v>1</v>
      </c>
    </row>
    <row r="358" spans="1:20" x14ac:dyDescent="0.2">
      <c r="A358" t="s">
        <v>324</v>
      </c>
      <c r="B358" t="s">
        <v>21</v>
      </c>
      <c r="C358" t="s">
        <v>325</v>
      </c>
      <c r="D358" t="s">
        <v>326</v>
      </c>
      <c r="E358" t="s">
        <v>101</v>
      </c>
      <c r="F358" t="s">
        <v>25</v>
      </c>
      <c r="G358" t="s">
        <v>102</v>
      </c>
      <c r="H358" t="s">
        <v>319</v>
      </c>
      <c r="I358" t="s">
        <v>103</v>
      </c>
      <c r="J358" t="s">
        <v>29</v>
      </c>
      <c r="K358" t="s">
        <v>30</v>
      </c>
      <c r="L358" t="s">
        <v>38</v>
      </c>
      <c r="M358" s="1">
        <v>0</v>
      </c>
      <c r="N358">
        <v>0</v>
      </c>
      <c r="O358">
        <v>0</v>
      </c>
      <c r="P358">
        <v>91.25</v>
      </c>
      <c r="Q358">
        <v>0</v>
      </c>
      <c r="R358" s="2">
        <v>0</v>
      </c>
      <c r="S358">
        <v>1</v>
      </c>
      <c r="T358">
        <v>1</v>
      </c>
    </row>
    <row r="359" spans="1:20" x14ac:dyDescent="0.2">
      <c r="A359" t="s">
        <v>443</v>
      </c>
      <c r="B359" t="s">
        <v>158</v>
      </c>
      <c r="C359" t="s">
        <v>1217</v>
      </c>
      <c r="D359" t="s">
        <v>1218</v>
      </c>
      <c r="E359" t="s">
        <v>101</v>
      </c>
      <c r="F359" t="s">
        <v>25</v>
      </c>
      <c r="G359" t="s">
        <v>102</v>
      </c>
      <c r="H359" t="s">
        <v>1071</v>
      </c>
      <c r="I359" t="s">
        <v>103</v>
      </c>
      <c r="J359" t="s">
        <v>29</v>
      </c>
      <c r="K359" t="s">
        <v>46</v>
      </c>
      <c r="L359" t="s">
        <v>31</v>
      </c>
      <c r="M359" s="1">
        <v>368256</v>
      </c>
      <c r="N359">
        <v>1</v>
      </c>
      <c r="O359">
        <v>1</v>
      </c>
      <c r="P359">
        <v>91.25</v>
      </c>
      <c r="Q359">
        <v>0</v>
      </c>
      <c r="R359" s="2">
        <v>1</v>
      </c>
      <c r="S359">
        <v>0</v>
      </c>
      <c r="T359">
        <v>0</v>
      </c>
    </row>
    <row r="360" spans="1:20" x14ac:dyDescent="0.2">
      <c r="A360" t="s">
        <v>47</v>
      </c>
      <c r="B360" t="s">
        <v>21</v>
      </c>
      <c r="C360" t="s">
        <v>577</v>
      </c>
      <c r="D360" t="s">
        <v>578</v>
      </c>
      <c r="E360" t="s">
        <v>101</v>
      </c>
      <c r="F360" t="s">
        <v>58</v>
      </c>
      <c r="G360" t="s">
        <v>102</v>
      </c>
      <c r="H360" t="s">
        <v>550</v>
      </c>
      <c r="I360" t="s">
        <v>579</v>
      </c>
      <c r="J360" t="s">
        <v>45</v>
      </c>
      <c r="K360" t="s">
        <v>46</v>
      </c>
      <c r="L360" t="s">
        <v>38</v>
      </c>
      <c r="M360" s="1">
        <v>0</v>
      </c>
      <c r="N360">
        <v>0</v>
      </c>
      <c r="O360">
        <v>0</v>
      </c>
      <c r="P360">
        <v>91.25</v>
      </c>
      <c r="Q360">
        <v>0</v>
      </c>
      <c r="R360" s="2">
        <v>0</v>
      </c>
      <c r="S360">
        <v>1</v>
      </c>
      <c r="T360">
        <v>1</v>
      </c>
    </row>
    <row r="361" spans="1:20" x14ac:dyDescent="0.2">
      <c r="A361" t="s">
        <v>330</v>
      </c>
      <c r="B361" t="s">
        <v>21</v>
      </c>
      <c r="C361" t="s">
        <v>414</v>
      </c>
      <c r="D361" t="s">
        <v>415</v>
      </c>
      <c r="E361" t="s">
        <v>101</v>
      </c>
      <c r="F361" t="s">
        <v>25</v>
      </c>
      <c r="G361" t="s">
        <v>102</v>
      </c>
      <c r="H361" t="s">
        <v>319</v>
      </c>
      <c r="I361" t="s">
        <v>416</v>
      </c>
      <c r="J361" t="s">
        <v>45</v>
      </c>
      <c r="K361" t="s">
        <v>46</v>
      </c>
      <c r="L361" t="s">
        <v>38</v>
      </c>
      <c r="M361" s="1">
        <v>0</v>
      </c>
      <c r="N361">
        <v>0</v>
      </c>
      <c r="O361">
        <v>0</v>
      </c>
      <c r="P361">
        <v>91.25</v>
      </c>
      <c r="Q361">
        <v>0</v>
      </c>
      <c r="R361" s="2">
        <v>0</v>
      </c>
      <c r="S361">
        <v>1</v>
      </c>
      <c r="T361">
        <v>1</v>
      </c>
    </row>
    <row r="362" spans="1:20" x14ac:dyDescent="0.2">
      <c r="A362" t="s">
        <v>51</v>
      </c>
      <c r="B362" t="s">
        <v>21</v>
      </c>
      <c r="C362" t="s">
        <v>829</v>
      </c>
      <c r="D362" t="s">
        <v>830</v>
      </c>
      <c r="E362" t="s">
        <v>101</v>
      </c>
      <c r="F362" t="s">
        <v>25</v>
      </c>
      <c r="G362" t="s">
        <v>102</v>
      </c>
      <c r="H362" t="s">
        <v>748</v>
      </c>
      <c r="I362" t="s">
        <v>831</v>
      </c>
      <c r="J362" t="s">
        <v>45</v>
      </c>
      <c r="K362" t="s">
        <v>46</v>
      </c>
      <c r="L362" t="s">
        <v>38</v>
      </c>
      <c r="M362" s="1">
        <v>0</v>
      </c>
      <c r="N362">
        <v>0</v>
      </c>
      <c r="O362">
        <v>0</v>
      </c>
      <c r="P362">
        <v>91.25</v>
      </c>
      <c r="Q362">
        <v>0</v>
      </c>
      <c r="R362" s="2">
        <v>0</v>
      </c>
      <c r="S362">
        <v>1</v>
      </c>
      <c r="T362">
        <v>1</v>
      </c>
    </row>
    <row r="363" spans="1:20" x14ac:dyDescent="0.2">
      <c r="A363" t="s">
        <v>1190</v>
      </c>
      <c r="B363" t="s">
        <v>21</v>
      </c>
      <c r="C363" t="s">
        <v>1191</v>
      </c>
      <c r="D363" t="s">
        <v>1192</v>
      </c>
      <c r="E363" t="s">
        <v>101</v>
      </c>
      <c r="F363" t="s">
        <v>25</v>
      </c>
      <c r="G363" t="s">
        <v>102</v>
      </c>
      <c r="H363" t="s">
        <v>1071</v>
      </c>
      <c r="I363" t="s">
        <v>831</v>
      </c>
      <c r="J363" t="s">
        <v>45</v>
      </c>
      <c r="K363" t="s">
        <v>46</v>
      </c>
      <c r="L363" t="s">
        <v>556</v>
      </c>
      <c r="M363" s="1">
        <v>0</v>
      </c>
      <c r="N363">
        <v>0</v>
      </c>
      <c r="O363">
        <v>0</v>
      </c>
      <c r="P363">
        <v>91.25</v>
      </c>
      <c r="Q363">
        <v>1</v>
      </c>
      <c r="R363" s="2">
        <v>0</v>
      </c>
      <c r="S363">
        <v>0</v>
      </c>
      <c r="T363">
        <v>0</v>
      </c>
    </row>
    <row r="364" spans="1:20" x14ac:dyDescent="0.2">
      <c r="A364" t="s">
        <v>571</v>
      </c>
      <c r="B364" t="s">
        <v>21</v>
      </c>
      <c r="C364" t="s">
        <v>1123</v>
      </c>
      <c r="D364" t="s">
        <v>1124</v>
      </c>
      <c r="E364" t="s">
        <v>101</v>
      </c>
      <c r="F364" t="s">
        <v>25</v>
      </c>
      <c r="G364" t="s">
        <v>102</v>
      </c>
      <c r="H364" t="s">
        <v>1071</v>
      </c>
      <c r="I364" t="s">
        <v>1125</v>
      </c>
      <c r="J364" t="s">
        <v>45</v>
      </c>
      <c r="K364" t="s">
        <v>46</v>
      </c>
      <c r="L364" t="s">
        <v>31</v>
      </c>
      <c r="M364" s="1">
        <v>61421.38</v>
      </c>
      <c r="N364">
        <v>1</v>
      </c>
      <c r="O364">
        <v>1</v>
      </c>
      <c r="P364">
        <v>91.25</v>
      </c>
      <c r="Q364">
        <v>0</v>
      </c>
      <c r="R364" s="2">
        <v>1</v>
      </c>
      <c r="S364">
        <v>0</v>
      </c>
      <c r="T364">
        <v>0</v>
      </c>
    </row>
    <row r="365" spans="1:20" x14ac:dyDescent="0.2">
      <c r="A365" t="s">
        <v>32</v>
      </c>
      <c r="B365" t="s">
        <v>21</v>
      </c>
      <c r="C365" t="s">
        <v>317</v>
      </c>
      <c r="D365" t="s">
        <v>318</v>
      </c>
      <c r="E365" t="s">
        <v>101</v>
      </c>
      <c r="F365" t="s">
        <v>25</v>
      </c>
      <c r="G365" t="s">
        <v>102</v>
      </c>
      <c r="H365" t="s">
        <v>319</v>
      </c>
      <c r="I365" t="s">
        <v>320</v>
      </c>
      <c r="J365" t="s">
        <v>29</v>
      </c>
      <c r="K365" t="s">
        <v>46</v>
      </c>
      <c r="L365" t="s">
        <v>31</v>
      </c>
      <c r="M365" s="1">
        <v>843862.02</v>
      </c>
      <c r="N365">
        <v>1</v>
      </c>
      <c r="O365">
        <v>1</v>
      </c>
      <c r="P365">
        <v>91.25</v>
      </c>
      <c r="Q365">
        <v>0</v>
      </c>
      <c r="R365" s="2">
        <v>1</v>
      </c>
      <c r="S365">
        <v>0</v>
      </c>
      <c r="T365">
        <v>0</v>
      </c>
    </row>
    <row r="366" spans="1:20" x14ac:dyDescent="0.2">
      <c r="A366" t="s">
        <v>814</v>
      </c>
      <c r="B366" t="s">
        <v>21</v>
      </c>
      <c r="C366" t="s">
        <v>1069</v>
      </c>
      <c r="D366" t="s">
        <v>1070</v>
      </c>
      <c r="E366" t="s">
        <v>101</v>
      </c>
      <c r="F366" t="s">
        <v>25</v>
      </c>
      <c r="G366" t="s">
        <v>102</v>
      </c>
      <c r="H366" t="s">
        <v>1071</v>
      </c>
      <c r="I366" t="s">
        <v>320</v>
      </c>
      <c r="J366" t="s">
        <v>29</v>
      </c>
      <c r="K366" t="s">
        <v>46</v>
      </c>
      <c r="L366" t="s">
        <v>556</v>
      </c>
      <c r="M366" s="1">
        <v>0</v>
      </c>
      <c r="N366">
        <v>0</v>
      </c>
      <c r="O366">
        <v>0</v>
      </c>
      <c r="P366">
        <v>91.25</v>
      </c>
      <c r="Q366">
        <v>1</v>
      </c>
      <c r="R366" s="2">
        <v>0</v>
      </c>
      <c r="S366">
        <v>0</v>
      </c>
      <c r="T366">
        <v>0</v>
      </c>
    </row>
    <row r="367" spans="1:20" x14ac:dyDescent="0.2">
      <c r="A367" t="s">
        <v>324</v>
      </c>
      <c r="B367" t="s">
        <v>21</v>
      </c>
      <c r="C367" t="s">
        <v>1408</v>
      </c>
      <c r="D367" t="s">
        <v>1409</v>
      </c>
      <c r="E367" t="s">
        <v>101</v>
      </c>
      <c r="F367" t="s">
        <v>25</v>
      </c>
      <c r="G367" t="s">
        <v>102</v>
      </c>
      <c r="H367" t="s">
        <v>1410</v>
      </c>
      <c r="I367" t="s">
        <v>320</v>
      </c>
      <c r="J367" t="s">
        <v>29</v>
      </c>
      <c r="K367" t="s">
        <v>46</v>
      </c>
      <c r="L367" t="s">
        <v>556</v>
      </c>
      <c r="M367" s="1">
        <v>0</v>
      </c>
      <c r="N367">
        <v>0</v>
      </c>
      <c r="O367">
        <v>0</v>
      </c>
      <c r="P367">
        <v>91.25</v>
      </c>
      <c r="Q367">
        <v>1</v>
      </c>
      <c r="R367" s="2">
        <v>0</v>
      </c>
      <c r="S367">
        <v>0</v>
      </c>
      <c r="T367">
        <v>0</v>
      </c>
    </row>
    <row r="368" spans="1:20" x14ac:dyDescent="0.2">
      <c r="A368" t="s">
        <v>157</v>
      </c>
      <c r="B368" t="s">
        <v>158</v>
      </c>
      <c r="C368" t="s">
        <v>1322</v>
      </c>
      <c r="D368" t="s">
        <v>1323</v>
      </c>
      <c r="E368" t="s">
        <v>1324</v>
      </c>
      <c r="F368" t="s">
        <v>25</v>
      </c>
      <c r="G368" t="s">
        <v>1325</v>
      </c>
      <c r="H368" t="s">
        <v>1071</v>
      </c>
      <c r="I368" t="s">
        <v>28</v>
      </c>
      <c r="J368" t="s">
        <v>29</v>
      </c>
      <c r="K368" t="s">
        <v>46</v>
      </c>
      <c r="L368" t="s">
        <v>556</v>
      </c>
      <c r="M368" s="1">
        <v>0</v>
      </c>
      <c r="N368">
        <v>0</v>
      </c>
      <c r="O368">
        <v>0</v>
      </c>
      <c r="P368">
        <v>91.25</v>
      </c>
      <c r="Q368">
        <v>1</v>
      </c>
      <c r="R368" s="2">
        <v>0</v>
      </c>
      <c r="S368">
        <v>0</v>
      </c>
      <c r="T368">
        <v>0</v>
      </c>
    </row>
    <row r="369" spans="1:20" x14ac:dyDescent="0.2">
      <c r="A369" t="s">
        <v>1384</v>
      </c>
      <c r="B369" t="s">
        <v>262</v>
      </c>
      <c r="C369" t="s">
        <v>1385</v>
      </c>
      <c r="D369" t="s">
        <v>1386</v>
      </c>
      <c r="E369" t="s">
        <v>1387</v>
      </c>
      <c r="F369" t="s">
        <v>25</v>
      </c>
      <c r="G369" t="s">
        <v>1388</v>
      </c>
      <c r="H369" t="s">
        <v>1071</v>
      </c>
      <c r="I369" t="s">
        <v>28</v>
      </c>
      <c r="J369" t="s">
        <v>29</v>
      </c>
      <c r="K369" t="s">
        <v>46</v>
      </c>
      <c r="L369" t="s">
        <v>556</v>
      </c>
      <c r="M369" s="1">
        <v>0</v>
      </c>
      <c r="N369">
        <v>0</v>
      </c>
      <c r="O369">
        <v>0</v>
      </c>
      <c r="P369">
        <v>91.25</v>
      </c>
      <c r="Q369">
        <v>0</v>
      </c>
      <c r="R369" s="2">
        <v>0</v>
      </c>
      <c r="S369">
        <v>0</v>
      </c>
      <c r="T369">
        <v>1</v>
      </c>
    </row>
    <row r="370" spans="1:20" x14ac:dyDescent="0.2">
      <c r="A370" t="s">
        <v>39</v>
      </c>
      <c r="B370" t="s">
        <v>21</v>
      </c>
      <c r="C370" t="s">
        <v>557</v>
      </c>
      <c r="D370" t="s">
        <v>558</v>
      </c>
      <c r="E370" t="s">
        <v>559</v>
      </c>
      <c r="F370" t="s">
        <v>25</v>
      </c>
      <c r="G370" t="s">
        <v>560</v>
      </c>
      <c r="H370" t="s">
        <v>550</v>
      </c>
      <c r="I370" t="s">
        <v>485</v>
      </c>
      <c r="J370" t="s">
        <v>29</v>
      </c>
      <c r="K370" t="s">
        <v>46</v>
      </c>
      <c r="L370" t="s">
        <v>31</v>
      </c>
      <c r="M370" s="1">
        <v>150065.79999999999</v>
      </c>
      <c r="N370">
        <v>1</v>
      </c>
      <c r="O370">
        <v>1</v>
      </c>
      <c r="P370">
        <v>91.25</v>
      </c>
      <c r="Q370">
        <v>0</v>
      </c>
      <c r="R370" s="2">
        <v>1</v>
      </c>
      <c r="S370">
        <v>0</v>
      </c>
      <c r="T370">
        <v>0</v>
      </c>
    </row>
    <row r="371" spans="1:20" x14ac:dyDescent="0.2">
      <c r="A371" t="s">
        <v>641</v>
      </c>
      <c r="B371" t="s">
        <v>158</v>
      </c>
      <c r="C371" t="s">
        <v>642</v>
      </c>
      <c r="D371" t="s">
        <v>554</v>
      </c>
      <c r="E371" t="s">
        <v>559</v>
      </c>
      <c r="F371" t="s">
        <v>25</v>
      </c>
      <c r="G371" t="s">
        <v>560</v>
      </c>
      <c r="H371" t="s">
        <v>550</v>
      </c>
      <c r="I371" t="s">
        <v>485</v>
      </c>
      <c r="J371" t="s">
        <v>29</v>
      </c>
      <c r="K371" t="s">
        <v>46</v>
      </c>
      <c r="L371" t="s">
        <v>38</v>
      </c>
      <c r="M371" s="1">
        <v>0</v>
      </c>
      <c r="N371">
        <v>0</v>
      </c>
      <c r="O371">
        <v>0</v>
      </c>
      <c r="P371">
        <v>91.25</v>
      </c>
      <c r="Q371">
        <v>0</v>
      </c>
      <c r="R371" s="2">
        <v>0</v>
      </c>
      <c r="S371">
        <v>1</v>
      </c>
      <c r="T371">
        <v>1</v>
      </c>
    </row>
    <row r="372" spans="1:20" x14ac:dyDescent="0.2">
      <c r="A372" t="s">
        <v>838</v>
      </c>
      <c r="B372" t="s">
        <v>21</v>
      </c>
      <c r="C372" t="s">
        <v>839</v>
      </c>
      <c r="D372" t="s">
        <v>840</v>
      </c>
      <c r="E372" t="s">
        <v>559</v>
      </c>
      <c r="F372" t="s">
        <v>58</v>
      </c>
      <c r="G372" t="s">
        <v>560</v>
      </c>
      <c r="H372" t="s">
        <v>748</v>
      </c>
      <c r="I372" t="s">
        <v>485</v>
      </c>
      <c r="J372" t="s">
        <v>29</v>
      </c>
      <c r="K372" t="s">
        <v>46</v>
      </c>
      <c r="L372" t="s">
        <v>31</v>
      </c>
      <c r="M372" s="1">
        <v>268239.44</v>
      </c>
      <c r="N372">
        <v>1</v>
      </c>
      <c r="O372">
        <v>1</v>
      </c>
      <c r="P372">
        <v>91.25</v>
      </c>
      <c r="Q372">
        <v>0</v>
      </c>
      <c r="R372" s="2">
        <v>1</v>
      </c>
      <c r="S372">
        <v>0</v>
      </c>
      <c r="T372">
        <v>0</v>
      </c>
    </row>
    <row r="373" spans="1:20" x14ac:dyDescent="0.2">
      <c r="A373" t="s">
        <v>434</v>
      </c>
      <c r="B373" t="s">
        <v>158</v>
      </c>
      <c r="C373" t="s">
        <v>948</v>
      </c>
      <c r="D373" t="s">
        <v>949</v>
      </c>
      <c r="E373" t="s">
        <v>559</v>
      </c>
      <c r="F373" t="s">
        <v>58</v>
      </c>
      <c r="G373" t="s">
        <v>560</v>
      </c>
      <c r="H373" t="s">
        <v>748</v>
      </c>
      <c r="I373" t="s">
        <v>485</v>
      </c>
      <c r="J373" t="s">
        <v>29</v>
      </c>
      <c r="K373" t="s">
        <v>46</v>
      </c>
      <c r="L373" t="s">
        <v>38</v>
      </c>
      <c r="M373" s="1">
        <v>0</v>
      </c>
      <c r="N373">
        <v>0</v>
      </c>
      <c r="O373">
        <v>0</v>
      </c>
      <c r="P373">
        <v>91.25</v>
      </c>
      <c r="Q373">
        <v>0</v>
      </c>
      <c r="R373" s="2">
        <v>0</v>
      </c>
      <c r="S373">
        <v>1</v>
      </c>
      <c r="T373">
        <v>1</v>
      </c>
    </row>
    <row r="374" spans="1:20" x14ac:dyDescent="0.2">
      <c r="A374" t="s">
        <v>516</v>
      </c>
      <c r="B374" t="s">
        <v>262</v>
      </c>
      <c r="C374" t="s">
        <v>1050</v>
      </c>
      <c r="D374" t="s">
        <v>1051</v>
      </c>
      <c r="E374" t="s">
        <v>559</v>
      </c>
      <c r="F374" t="s">
        <v>58</v>
      </c>
      <c r="G374" t="s">
        <v>560</v>
      </c>
      <c r="H374" t="s">
        <v>748</v>
      </c>
      <c r="I374" t="s">
        <v>485</v>
      </c>
      <c r="J374" t="s">
        <v>29</v>
      </c>
      <c r="K374" t="s">
        <v>46</v>
      </c>
      <c r="L374" t="s">
        <v>38</v>
      </c>
      <c r="M374" s="1">
        <v>0</v>
      </c>
      <c r="N374">
        <v>0</v>
      </c>
      <c r="O374">
        <v>0</v>
      </c>
      <c r="P374">
        <v>91.25</v>
      </c>
      <c r="Q374">
        <v>0</v>
      </c>
      <c r="R374" s="2">
        <v>0</v>
      </c>
      <c r="S374">
        <v>1</v>
      </c>
      <c r="T374">
        <v>1</v>
      </c>
    </row>
    <row r="375" spans="1:20" x14ac:dyDescent="0.2">
      <c r="A375" t="s">
        <v>277</v>
      </c>
      <c r="B375" t="s">
        <v>262</v>
      </c>
      <c r="C375" t="s">
        <v>948</v>
      </c>
      <c r="D375" t="s">
        <v>949</v>
      </c>
      <c r="E375" t="s">
        <v>559</v>
      </c>
      <c r="F375" t="s">
        <v>25</v>
      </c>
      <c r="G375" t="s">
        <v>560</v>
      </c>
      <c r="H375" t="s">
        <v>748</v>
      </c>
      <c r="I375" t="s">
        <v>485</v>
      </c>
      <c r="J375" t="s">
        <v>29</v>
      </c>
      <c r="K375" t="s">
        <v>46</v>
      </c>
      <c r="L375" t="s">
        <v>38</v>
      </c>
      <c r="M375" s="1">
        <v>0</v>
      </c>
      <c r="N375">
        <v>0</v>
      </c>
      <c r="O375">
        <v>0</v>
      </c>
      <c r="P375">
        <v>91.25</v>
      </c>
      <c r="Q375">
        <v>0</v>
      </c>
      <c r="R375" s="2">
        <v>0</v>
      </c>
      <c r="S375">
        <v>1</v>
      </c>
      <c r="T375">
        <v>1</v>
      </c>
    </row>
    <row r="376" spans="1:20" x14ac:dyDescent="0.2">
      <c r="A376" t="s">
        <v>698</v>
      </c>
      <c r="B376" t="s">
        <v>262</v>
      </c>
      <c r="C376" t="s">
        <v>1367</v>
      </c>
      <c r="D376" t="s">
        <v>1368</v>
      </c>
      <c r="E376" t="s">
        <v>1369</v>
      </c>
      <c r="F376" t="s">
        <v>25</v>
      </c>
      <c r="G376" t="s">
        <v>1370</v>
      </c>
      <c r="H376" t="s">
        <v>1071</v>
      </c>
      <c r="I376" t="s">
        <v>28</v>
      </c>
      <c r="J376" t="s">
        <v>29</v>
      </c>
      <c r="K376" t="s">
        <v>46</v>
      </c>
      <c r="L376" t="s">
        <v>38</v>
      </c>
      <c r="M376" s="1">
        <v>0</v>
      </c>
      <c r="N376">
        <v>0</v>
      </c>
      <c r="O376">
        <v>0</v>
      </c>
      <c r="P376">
        <v>91.25</v>
      </c>
      <c r="Q376">
        <v>0</v>
      </c>
      <c r="R376" s="2">
        <v>0</v>
      </c>
      <c r="S376">
        <v>1</v>
      </c>
      <c r="T376">
        <v>1</v>
      </c>
    </row>
    <row r="377" spans="1:20" x14ac:dyDescent="0.2">
      <c r="A377" t="s">
        <v>91</v>
      </c>
      <c r="B377" t="s">
        <v>21</v>
      </c>
      <c r="C377" t="s">
        <v>377</v>
      </c>
      <c r="D377" t="s">
        <v>378</v>
      </c>
      <c r="E377" t="s">
        <v>379</v>
      </c>
      <c r="F377" t="s">
        <v>25</v>
      </c>
      <c r="G377" t="s">
        <v>380</v>
      </c>
      <c r="H377" t="s">
        <v>319</v>
      </c>
      <c r="I377" t="s">
        <v>28</v>
      </c>
      <c r="J377" t="s">
        <v>29</v>
      </c>
      <c r="K377" t="s">
        <v>46</v>
      </c>
      <c r="L377" t="s">
        <v>31</v>
      </c>
      <c r="M377" s="1">
        <v>99981.28</v>
      </c>
      <c r="N377">
        <v>1</v>
      </c>
      <c r="O377">
        <v>1</v>
      </c>
      <c r="P377">
        <v>91.25</v>
      </c>
      <c r="Q377">
        <v>0</v>
      </c>
      <c r="R377" s="2">
        <v>1</v>
      </c>
      <c r="S377">
        <v>0</v>
      </c>
      <c r="T377">
        <v>0</v>
      </c>
    </row>
    <row r="378" spans="1:20" x14ac:dyDescent="0.2">
      <c r="A378" t="s">
        <v>96</v>
      </c>
      <c r="B378" t="s">
        <v>21</v>
      </c>
      <c r="C378" t="s">
        <v>398</v>
      </c>
      <c r="D378" t="s">
        <v>399</v>
      </c>
      <c r="E378" t="s">
        <v>379</v>
      </c>
      <c r="F378" t="s">
        <v>58</v>
      </c>
      <c r="G378" t="s">
        <v>380</v>
      </c>
      <c r="H378" t="s">
        <v>319</v>
      </c>
      <c r="I378" t="s">
        <v>28</v>
      </c>
      <c r="J378" t="s">
        <v>29</v>
      </c>
      <c r="K378" t="s">
        <v>46</v>
      </c>
      <c r="L378" t="s">
        <v>31</v>
      </c>
      <c r="M378" s="1">
        <v>11841.03</v>
      </c>
      <c r="N378">
        <v>1</v>
      </c>
      <c r="O378">
        <v>1</v>
      </c>
      <c r="P378">
        <v>91.25</v>
      </c>
      <c r="Q378">
        <v>0</v>
      </c>
      <c r="R378" s="2">
        <v>1</v>
      </c>
      <c r="S378">
        <v>0</v>
      </c>
      <c r="T378">
        <v>0</v>
      </c>
    </row>
    <row r="379" spans="1:20" x14ac:dyDescent="0.2">
      <c r="A379" t="s">
        <v>821</v>
      </c>
      <c r="B379" t="s">
        <v>21</v>
      </c>
      <c r="C379" t="s">
        <v>1458</v>
      </c>
      <c r="D379" t="s">
        <v>1459</v>
      </c>
      <c r="E379" t="s">
        <v>379</v>
      </c>
      <c r="F379" t="s">
        <v>25</v>
      </c>
      <c r="G379" t="s">
        <v>380</v>
      </c>
      <c r="H379" t="s">
        <v>1410</v>
      </c>
      <c r="I379" t="s">
        <v>28</v>
      </c>
      <c r="J379" t="s">
        <v>29</v>
      </c>
      <c r="K379" t="s">
        <v>46</v>
      </c>
      <c r="L379" t="s">
        <v>556</v>
      </c>
      <c r="M379" s="1">
        <v>0</v>
      </c>
      <c r="N379">
        <v>0</v>
      </c>
      <c r="O379">
        <v>0</v>
      </c>
      <c r="P379">
        <v>91.25</v>
      </c>
      <c r="Q379">
        <v>1</v>
      </c>
      <c r="R379" s="2">
        <v>0</v>
      </c>
      <c r="S379">
        <v>0</v>
      </c>
      <c r="T379">
        <v>0</v>
      </c>
    </row>
    <row r="380" spans="1:20" x14ac:dyDescent="0.2">
      <c r="A380" t="s">
        <v>687</v>
      </c>
      <c r="B380" t="s">
        <v>250</v>
      </c>
      <c r="C380" t="s">
        <v>688</v>
      </c>
      <c r="D380" t="s">
        <v>689</v>
      </c>
      <c r="E380" t="s">
        <v>690</v>
      </c>
      <c r="F380" t="s">
        <v>25</v>
      </c>
      <c r="G380" t="s">
        <v>691</v>
      </c>
      <c r="H380" t="s">
        <v>550</v>
      </c>
      <c r="I380" t="s">
        <v>28</v>
      </c>
      <c r="J380" t="s">
        <v>29</v>
      </c>
      <c r="K380" t="s">
        <v>46</v>
      </c>
      <c r="L380" t="s">
        <v>31</v>
      </c>
      <c r="M380" s="1">
        <v>0</v>
      </c>
      <c r="N380">
        <v>1</v>
      </c>
      <c r="O380">
        <v>1</v>
      </c>
      <c r="P380">
        <v>91.25</v>
      </c>
      <c r="Q380">
        <v>0</v>
      </c>
      <c r="R380" s="2">
        <v>1</v>
      </c>
      <c r="S380">
        <v>0</v>
      </c>
      <c r="T380">
        <v>0</v>
      </c>
    </row>
    <row r="381" spans="1:20" x14ac:dyDescent="0.2">
      <c r="A381" t="s">
        <v>687</v>
      </c>
      <c r="B381" t="s">
        <v>250</v>
      </c>
      <c r="C381" t="s">
        <v>983</v>
      </c>
      <c r="D381" t="s">
        <v>984</v>
      </c>
      <c r="E381" t="s">
        <v>690</v>
      </c>
      <c r="F381" t="s">
        <v>25</v>
      </c>
      <c r="G381" t="s">
        <v>691</v>
      </c>
      <c r="H381" t="s">
        <v>748</v>
      </c>
      <c r="I381" t="s">
        <v>28</v>
      </c>
      <c r="J381" t="s">
        <v>29</v>
      </c>
      <c r="K381" t="s">
        <v>46</v>
      </c>
      <c r="L381" t="s">
        <v>38</v>
      </c>
      <c r="M381" s="1">
        <v>0</v>
      </c>
      <c r="N381">
        <v>0</v>
      </c>
      <c r="O381">
        <v>0</v>
      </c>
      <c r="P381">
        <v>91.25</v>
      </c>
      <c r="Q381">
        <v>0</v>
      </c>
      <c r="R381" s="2">
        <v>0</v>
      </c>
      <c r="S381">
        <v>1</v>
      </c>
      <c r="T381">
        <v>1</v>
      </c>
    </row>
    <row r="382" spans="1:20" x14ac:dyDescent="0.2">
      <c r="A382" t="s">
        <v>687</v>
      </c>
      <c r="B382" t="s">
        <v>250</v>
      </c>
      <c r="C382" t="s">
        <v>999</v>
      </c>
      <c r="D382" t="s">
        <v>1000</v>
      </c>
      <c r="E382" t="s">
        <v>690</v>
      </c>
      <c r="F382" t="s">
        <v>25</v>
      </c>
      <c r="G382" t="s">
        <v>691</v>
      </c>
      <c r="H382" t="s">
        <v>748</v>
      </c>
      <c r="I382" t="s">
        <v>28</v>
      </c>
      <c r="J382" t="s">
        <v>29</v>
      </c>
      <c r="K382" t="s">
        <v>46</v>
      </c>
      <c r="L382" t="s">
        <v>38</v>
      </c>
      <c r="M382" s="1">
        <v>0</v>
      </c>
      <c r="N382">
        <v>0</v>
      </c>
      <c r="O382">
        <v>0</v>
      </c>
      <c r="P382">
        <v>91.25</v>
      </c>
      <c r="Q382">
        <v>0</v>
      </c>
      <c r="R382" s="2">
        <v>0</v>
      </c>
      <c r="S382">
        <v>1</v>
      </c>
      <c r="T382">
        <v>1</v>
      </c>
    </row>
    <row r="383" spans="1:20" x14ac:dyDescent="0.2">
      <c r="A383" t="s">
        <v>39</v>
      </c>
      <c r="B383" t="s">
        <v>21</v>
      </c>
      <c r="C383" t="s">
        <v>142</v>
      </c>
      <c r="D383" t="s">
        <v>143</v>
      </c>
      <c r="E383" t="s">
        <v>144</v>
      </c>
      <c r="F383" t="s">
        <v>58</v>
      </c>
      <c r="G383" t="s">
        <v>145</v>
      </c>
      <c r="H383" t="s">
        <v>27</v>
      </c>
      <c r="I383" t="s">
        <v>103</v>
      </c>
      <c r="J383" t="s">
        <v>29</v>
      </c>
      <c r="K383" t="s">
        <v>46</v>
      </c>
      <c r="L383" t="s">
        <v>134</v>
      </c>
      <c r="M383" s="1">
        <v>0</v>
      </c>
      <c r="N383">
        <v>0</v>
      </c>
      <c r="O383">
        <v>0</v>
      </c>
      <c r="P383">
        <v>91.25</v>
      </c>
      <c r="Q383">
        <v>0</v>
      </c>
      <c r="R383" s="2">
        <v>0</v>
      </c>
      <c r="S383">
        <v>1</v>
      </c>
      <c r="T383">
        <v>1</v>
      </c>
    </row>
    <row r="384" spans="1:20" x14ac:dyDescent="0.2">
      <c r="A384" t="s">
        <v>280</v>
      </c>
      <c r="B384" t="s">
        <v>262</v>
      </c>
      <c r="C384" t="s">
        <v>281</v>
      </c>
      <c r="D384" t="s">
        <v>282</v>
      </c>
      <c r="E384" t="s">
        <v>144</v>
      </c>
      <c r="F384" t="s">
        <v>25</v>
      </c>
      <c r="G384" t="s">
        <v>145</v>
      </c>
      <c r="H384" t="s">
        <v>27</v>
      </c>
      <c r="I384" t="s">
        <v>103</v>
      </c>
      <c r="J384" t="s">
        <v>29</v>
      </c>
      <c r="K384" t="s">
        <v>46</v>
      </c>
      <c r="L384" t="s">
        <v>38</v>
      </c>
      <c r="M384" s="1">
        <v>0</v>
      </c>
      <c r="N384">
        <v>0</v>
      </c>
      <c r="O384">
        <v>0</v>
      </c>
      <c r="P384">
        <v>91.25</v>
      </c>
      <c r="Q384">
        <v>0</v>
      </c>
      <c r="R384" s="2">
        <v>0</v>
      </c>
      <c r="S384">
        <v>1</v>
      </c>
      <c r="T384">
        <v>1</v>
      </c>
    </row>
    <row r="385" spans="1:20" x14ac:dyDescent="0.2">
      <c r="A385" t="s">
        <v>333</v>
      </c>
      <c r="B385" t="s">
        <v>21</v>
      </c>
      <c r="C385" t="s">
        <v>551</v>
      </c>
      <c r="D385" t="s">
        <v>552</v>
      </c>
      <c r="E385" t="s">
        <v>144</v>
      </c>
      <c r="F385" t="s">
        <v>58</v>
      </c>
      <c r="G385" t="s">
        <v>145</v>
      </c>
      <c r="H385" t="s">
        <v>550</v>
      </c>
      <c r="I385" t="s">
        <v>103</v>
      </c>
      <c r="J385" t="s">
        <v>29</v>
      </c>
      <c r="K385" t="s">
        <v>46</v>
      </c>
      <c r="L385" t="s">
        <v>31</v>
      </c>
      <c r="M385" s="1">
        <v>22370.82</v>
      </c>
      <c r="N385">
        <v>1</v>
      </c>
      <c r="O385">
        <v>1</v>
      </c>
      <c r="P385">
        <v>91.25</v>
      </c>
      <c r="Q385">
        <v>0</v>
      </c>
      <c r="R385" s="2">
        <v>1</v>
      </c>
      <c r="S385">
        <v>0</v>
      </c>
      <c r="T385">
        <v>0</v>
      </c>
    </row>
    <row r="386" spans="1:20" x14ac:dyDescent="0.2">
      <c r="A386" t="s">
        <v>237</v>
      </c>
      <c r="B386" t="s">
        <v>158</v>
      </c>
      <c r="C386" t="s">
        <v>891</v>
      </c>
      <c r="D386" t="s">
        <v>892</v>
      </c>
      <c r="E386" t="s">
        <v>144</v>
      </c>
      <c r="F386" t="s">
        <v>58</v>
      </c>
      <c r="G386" t="s">
        <v>145</v>
      </c>
      <c r="H386" t="s">
        <v>748</v>
      </c>
      <c r="I386" t="s">
        <v>893</v>
      </c>
      <c r="J386" t="s">
        <v>29</v>
      </c>
      <c r="K386" t="s">
        <v>46</v>
      </c>
      <c r="L386" t="s">
        <v>38</v>
      </c>
      <c r="M386" s="1">
        <v>0</v>
      </c>
      <c r="N386">
        <v>0</v>
      </c>
      <c r="O386">
        <v>0</v>
      </c>
      <c r="P386">
        <v>91.25</v>
      </c>
      <c r="Q386">
        <v>0</v>
      </c>
      <c r="R386" s="2">
        <v>0</v>
      </c>
      <c r="S386">
        <v>1</v>
      </c>
      <c r="T386">
        <v>1</v>
      </c>
    </row>
    <row r="387" spans="1:20" x14ac:dyDescent="0.2">
      <c r="A387" t="s">
        <v>261</v>
      </c>
      <c r="B387" t="s">
        <v>262</v>
      </c>
      <c r="C387" t="s">
        <v>891</v>
      </c>
      <c r="D387" t="s">
        <v>892</v>
      </c>
      <c r="E387" t="s">
        <v>144</v>
      </c>
      <c r="F387" t="s">
        <v>58</v>
      </c>
      <c r="G387" t="s">
        <v>145</v>
      </c>
      <c r="H387" t="s">
        <v>748</v>
      </c>
      <c r="I387" t="s">
        <v>893</v>
      </c>
      <c r="J387" t="s">
        <v>29</v>
      </c>
      <c r="K387" t="s">
        <v>46</v>
      </c>
      <c r="L387" t="s">
        <v>38</v>
      </c>
      <c r="M387" s="1">
        <v>0</v>
      </c>
      <c r="N387">
        <v>0</v>
      </c>
      <c r="O387">
        <v>0</v>
      </c>
      <c r="P387">
        <v>91.25</v>
      </c>
      <c r="Q387">
        <v>0</v>
      </c>
      <c r="R387" s="2">
        <v>0</v>
      </c>
      <c r="S387">
        <v>1</v>
      </c>
      <c r="T387">
        <v>1</v>
      </c>
    </row>
    <row r="388" spans="1:20" x14ac:dyDescent="0.2">
      <c r="A388" t="s">
        <v>574</v>
      </c>
      <c r="B388" t="s">
        <v>21</v>
      </c>
      <c r="C388" t="s">
        <v>1106</v>
      </c>
      <c r="D388" t="s">
        <v>1107</v>
      </c>
      <c r="E388" t="s">
        <v>1108</v>
      </c>
      <c r="F388" t="s">
        <v>25</v>
      </c>
      <c r="G388" t="s">
        <v>1109</v>
      </c>
      <c r="H388" t="s">
        <v>1071</v>
      </c>
      <c r="I388" t="s">
        <v>1110</v>
      </c>
      <c r="J388" t="s">
        <v>29</v>
      </c>
      <c r="K388" t="s">
        <v>46</v>
      </c>
      <c r="L388" t="s">
        <v>38</v>
      </c>
      <c r="M388" s="1">
        <v>0</v>
      </c>
      <c r="N388">
        <v>0</v>
      </c>
      <c r="O388">
        <v>0</v>
      </c>
      <c r="P388">
        <v>91.25</v>
      </c>
      <c r="Q388">
        <v>0</v>
      </c>
      <c r="R388" s="2">
        <v>0</v>
      </c>
      <c r="S388">
        <v>1</v>
      </c>
      <c r="T388">
        <v>1</v>
      </c>
    </row>
    <row r="389" spans="1:20" x14ac:dyDescent="0.2">
      <c r="A389" t="s">
        <v>67</v>
      </c>
      <c r="B389" t="s">
        <v>21</v>
      </c>
      <c r="C389" t="s">
        <v>116</v>
      </c>
      <c r="D389" t="s">
        <v>117</v>
      </c>
      <c r="E389" t="s">
        <v>118</v>
      </c>
      <c r="F389" t="s">
        <v>25</v>
      </c>
      <c r="G389" t="s">
        <v>119</v>
      </c>
      <c r="H389" t="s">
        <v>27</v>
      </c>
      <c r="I389" t="s">
        <v>28</v>
      </c>
      <c r="J389" t="s">
        <v>29</v>
      </c>
      <c r="K389" t="s">
        <v>46</v>
      </c>
      <c r="L389" t="s">
        <v>38</v>
      </c>
      <c r="M389" s="1">
        <v>0</v>
      </c>
      <c r="N389">
        <v>0</v>
      </c>
      <c r="O389">
        <v>0</v>
      </c>
      <c r="P389">
        <v>91.25</v>
      </c>
      <c r="Q389">
        <v>0</v>
      </c>
      <c r="R389" s="2">
        <v>0</v>
      </c>
      <c r="S389">
        <v>1</v>
      </c>
      <c r="T389">
        <v>1</v>
      </c>
    </row>
    <row r="390" spans="1:20" x14ac:dyDescent="0.2">
      <c r="A390" t="s">
        <v>32</v>
      </c>
      <c r="B390" t="s">
        <v>21</v>
      </c>
      <c r="C390" t="s">
        <v>73</v>
      </c>
      <c r="D390" t="s">
        <v>74</v>
      </c>
      <c r="E390" t="s">
        <v>35</v>
      </c>
      <c r="F390" t="s">
        <v>25</v>
      </c>
      <c r="G390" t="s">
        <v>36</v>
      </c>
      <c r="H390" t="s">
        <v>27</v>
      </c>
      <c r="I390" t="s">
        <v>75</v>
      </c>
      <c r="J390" t="s">
        <v>29</v>
      </c>
      <c r="K390" t="s">
        <v>46</v>
      </c>
      <c r="L390" t="s">
        <v>38</v>
      </c>
      <c r="M390" s="1">
        <v>0</v>
      </c>
      <c r="N390">
        <v>0</v>
      </c>
      <c r="O390">
        <v>0</v>
      </c>
      <c r="P390">
        <v>91.25</v>
      </c>
      <c r="Q390">
        <v>0</v>
      </c>
      <c r="R390" s="2">
        <v>0</v>
      </c>
      <c r="S390">
        <v>1</v>
      </c>
      <c r="T390">
        <v>1</v>
      </c>
    </row>
    <row r="391" spans="1:20" x14ac:dyDescent="0.2">
      <c r="A391" t="s">
        <v>32</v>
      </c>
      <c r="B391" t="s">
        <v>21</v>
      </c>
      <c r="C391" t="s">
        <v>89</v>
      </c>
      <c r="D391" t="s">
        <v>90</v>
      </c>
      <c r="E391" t="s">
        <v>35</v>
      </c>
      <c r="F391" t="s">
        <v>25</v>
      </c>
      <c r="G391" t="s">
        <v>36</v>
      </c>
      <c r="H391" t="s">
        <v>27</v>
      </c>
      <c r="I391" t="s">
        <v>75</v>
      </c>
      <c r="J391" t="s">
        <v>29</v>
      </c>
      <c r="K391" t="s">
        <v>46</v>
      </c>
      <c r="L391" t="s">
        <v>38</v>
      </c>
      <c r="M391" s="1">
        <v>0</v>
      </c>
      <c r="N391">
        <v>0</v>
      </c>
      <c r="O391">
        <v>0</v>
      </c>
      <c r="P391">
        <v>91.25</v>
      </c>
      <c r="Q391">
        <v>0</v>
      </c>
      <c r="R391" s="2">
        <v>0</v>
      </c>
      <c r="S391">
        <v>1</v>
      </c>
      <c r="T391">
        <v>1</v>
      </c>
    </row>
    <row r="392" spans="1:20" x14ac:dyDescent="0.2">
      <c r="A392" t="s">
        <v>96</v>
      </c>
      <c r="B392" t="s">
        <v>21</v>
      </c>
      <c r="C392" t="s">
        <v>97</v>
      </c>
      <c r="D392" t="s">
        <v>90</v>
      </c>
      <c r="E392" t="s">
        <v>35</v>
      </c>
      <c r="F392" t="s">
        <v>25</v>
      </c>
      <c r="G392" t="s">
        <v>36</v>
      </c>
      <c r="H392" t="s">
        <v>27</v>
      </c>
      <c r="I392" t="s">
        <v>75</v>
      </c>
      <c r="J392" t="s">
        <v>29</v>
      </c>
      <c r="K392" t="s">
        <v>46</v>
      </c>
      <c r="L392" t="s">
        <v>38</v>
      </c>
      <c r="M392" s="1">
        <v>0</v>
      </c>
      <c r="N392">
        <v>0</v>
      </c>
      <c r="O392">
        <v>0</v>
      </c>
      <c r="P392">
        <v>91.25</v>
      </c>
      <c r="Q392">
        <v>0</v>
      </c>
      <c r="R392" s="2">
        <v>0</v>
      </c>
      <c r="S392">
        <v>1</v>
      </c>
      <c r="T392">
        <v>1</v>
      </c>
    </row>
    <row r="393" spans="1:20" x14ac:dyDescent="0.2">
      <c r="A393" t="s">
        <v>32</v>
      </c>
      <c r="B393" t="s">
        <v>21</v>
      </c>
      <c r="C393" t="s">
        <v>138</v>
      </c>
      <c r="D393" t="s">
        <v>139</v>
      </c>
      <c r="E393" t="s">
        <v>35</v>
      </c>
      <c r="F393" t="s">
        <v>25</v>
      </c>
      <c r="G393" t="s">
        <v>36</v>
      </c>
      <c r="H393" t="s">
        <v>27</v>
      </c>
      <c r="I393" t="s">
        <v>75</v>
      </c>
      <c r="J393" t="s">
        <v>29</v>
      </c>
      <c r="K393" t="s">
        <v>46</v>
      </c>
      <c r="L393" t="s">
        <v>38</v>
      </c>
      <c r="M393" s="1">
        <v>0</v>
      </c>
      <c r="N393">
        <v>0</v>
      </c>
      <c r="O393">
        <v>0</v>
      </c>
      <c r="P393">
        <v>91.25</v>
      </c>
      <c r="Q393">
        <v>0</v>
      </c>
      <c r="R393" s="2">
        <v>0</v>
      </c>
      <c r="S393">
        <v>1</v>
      </c>
      <c r="T393">
        <v>1</v>
      </c>
    </row>
    <row r="394" spans="1:20" x14ac:dyDescent="0.2">
      <c r="A394" t="s">
        <v>153</v>
      </c>
      <c r="B394" t="s">
        <v>21</v>
      </c>
      <c r="C394" t="s">
        <v>154</v>
      </c>
      <c r="D394" t="s">
        <v>155</v>
      </c>
      <c r="E394" t="s">
        <v>35</v>
      </c>
      <c r="F394" t="s">
        <v>25</v>
      </c>
      <c r="G394" t="s">
        <v>36</v>
      </c>
      <c r="H394" t="s">
        <v>27</v>
      </c>
      <c r="I394" t="s">
        <v>75</v>
      </c>
      <c r="J394" t="s">
        <v>29</v>
      </c>
      <c r="K394" t="s">
        <v>46</v>
      </c>
      <c r="L394" t="s">
        <v>38</v>
      </c>
      <c r="M394" s="1">
        <v>0</v>
      </c>
      <c r="N394">
        <v>0</v>
      </c>
      <c r="O394">
        <v>0</v>
      </c>
      <c r="P394">
        <v>91.25</v>
      </c>
      <c r="Q394">
        <v>0</v>
      </c>
      <c r="R394" s="2">
        <v>0</v>
      </c>
      <c r="S394">
        <v>1</v>
      </c>
      <c r="T394">
        <v>1</v>
      </c>
    </row>
    <row r="395" spans="1:20" x14ac:dyDescent="0.2">
      <c r="A395" t="s">
        <v>186</v>
      </c>
      <c r="B395" t="s">
        <v>158</v>
      </c>
      <c r="C395" t="s">
        <v>187</v>
      </c>
      <c r="D395" t="s">
        <v>188</v>
      </c>
      <c r="E395" t="s">
        <v>35</v>
      </c>
      <c r="F395" t="s">
        <v>25</v>
      </c>
      <c r="G395" t="s">
        <v>36</v>
      </c>
      <c r="H395" t="s">
        <v>27</v>
      </c>
      <c r="I395" t="s">
        <v>75</v>
      </c>
      <c r="J395" t="s">
        <v>29</v>
      </c>
      <c r="K395" t="s">
        <v>46</v>
      </c>
      <c r="L395" t="s">
        <v>38</v>
      </c>
      <c r="M395" s="1">
        <v>0</v>
      </c>
      <c r="N395">
        <v>0</v>
      </c>
      <c r="O395">
        <v>0</v>
      </c>
      <c r="P395">
        <v>91.25</v>
      </c>
      <c r="Q395">
        <v>0</v>
      </c>
      <c r="R395" s="2">
        <v>0</v>
      </c>
      <c r="S395">
        <v>1</v>
      </c>
      <c r="T395">
        <v>1</v>
      </c>
    </row>
    <row r="396" spans="1:20" x14ac:dyDescent="0.2">
      <c r="A396" t="s">
        <v>157</v>
      </c>
      <c r="B396" t="s">
        <v>158</v>
      </c>
      <c r="C396" t="s">
        <v>206</v>
      </c>
      <c r="D396" t="s">
        <v>207</v>
      </c>
      <c r="E396" t="s">
        <v>35</v>
      </c>
      <c r="F396" t="s">
        <v>58</v>
      </c>
      <c r="G396" t="s">
        <v>36</v>
      </c>
      <c r="H396" t="s">
        <v>27</v>
      </c>
      <c r="I396" t="s">
        <v>75</v>
      </c>
      <c r="J396" t="s">
        <v>29</v>
      </c>
      <c r="K396" t="s">
        <v>46</v>
      </c>
      <c r="L396" t="s">
        <v>38</v>
      </c>
      <c r="M396" s="1">
        <v>0</v>
      </c>
      <c r="N396">
        <v>0</v>
      </c>
      <c r="O396">
        <v>0</v>
      </c>
      <c r="P396">
        <v>91.25</v>
      </c>
      <c r="Q396">
        <v>0</v>
      </c>
      <c r="R396" s="2">
        <v>0</v>
      </c>
      <c r="S396">
        <v>1</v>
      </c>
      <c r="T396">
        <v>1</v>
      </c>
    </row>
    <row r="397" spans="1:20" x14ac:dyDescent="0.2">
      <c r="A397" t="s">
        <v>212</v>
      </c>
      <c r="B397" t="s">
        <v>158</v>
      </c>
      <c r="C397" t="s">
        <v>213</v>
      </c>
      <c r="D397" t="s">
        <v>90</v>
      </c>
      <c r="E397" t="s">
        <v>35</v>
      </c>
      <c r="F397" t="s">
        <v>25</v>
      </c>
      <c r="G397" t="s">
        <v>36</v>
      </c>
      <c r="H397" t="s">
        <v>27</v>
      </c>
      <c r="I397" t="s">
        <v>75</v>
      </c>
      <c r="J397" t="s">
        <v>29</v>
      </c>
      <c r="K397" t="s">
        <v>46</v>
      </c>
      <c r="L397" t="s">
        <v>38</v>
      </c>
      <c r="M397" s="1">
        <v>0</v>
      </c>
      <c r="N397">
        <v>0</v>
      </c>
      <c r="O397">
        <v>0</v>
      </c>
      <c r="P397">
        <v>91.25</v>
      </c>
      <c r="Q397">
        <v>0</v>
      </c>
      <c r="R397" s="2">
        <v>0</v>
      </c>
      <c r="S397">
        <v>1</v>
      </c>
      <c r="T397">
        <v>1</v>
      </c>
    </row>
    <row r="398" spans="1:20" x14ac:dyDescent="0.2">
      <c r="A398" t="s">
        <v>186</v>
      </c>
      <c r="B398" t="s">
        <v>158</v>
      </c>
      <c r="C398" t="s">
        <v>217</v>
      </c>
      <c r="D398" t="s">
        <v>218</v>
      </c>
      <c r="E398" t="s">
        <v>35</v>
      </c>
      <c r="F398" t="s">
        <v>25</v>
      </c>
      <c r="G398" t="s">
        <v>36</v>
      </c>
      <c r="H398" t="s">
        <v>27</v>
      </c>
      <c r="I398" t="s">
        <v>75</v>
      </c>
      <c r="J398" t="s">
        <v>29</v>
      </c>
      <c r="K398" t="s">
        <v>46</v>
      </c>
      <c r="L398" t="s">
        <v>38</v>
      </c>
      <c r="M398" s="1">
        <v>0</v>
      </c>
      <c r="N398">
        <v>0</v>
      </c>
      <c r="O398">
        <v>0</v>
      </c>
      <c r="P398">
        <v>91.25</v>
      </c>
      <c r="Q398">
        <v>0</v>
      </c>
      <c r="R398" s="2">
        <v>0</v>
      </c>
      <c r="S398">
        <v>1</v>
      </c>
      <c r="T398">
        <v>1</v>
      </c>
    </row>
    <row r="399" spans="1:20" x14ac:dyDescent="0.2">
      <c r="A399" t="s">
        <v>212</v>
      </c>
      <c r="B399" t="s">
        <v>158</v>
      </c>
      <c r="C399" t="s">
        <v>240</v>
      </c>
      <c r="D399" t="s">
        <v>241</v>
      </c>
      <c r="E399" t="s">
        <v>35</v>
      </c>
      <c r="F399" t="s">
        <v>58</v>
      </c>
      <c r="G399" t="s">
        <v>36</v>
      </c>
      <c r="H399" t="s">
        <v>27</v>
      </c>
      <c r="I399" t="s">
        <v>75</v>
      </c>
      <c r="J399" t="s">
        <v>29</v>
      </c>
      <c r="K399" t="s">
        <v>46</v>
      </c>
      <c r="L399" t="s">
        <v>38</v>
      </c>
      <c r="M399" s="1">
        <v>0</v>
      </c>
      <c r="N399">
        <v>0</v>
      </c>
      <c r="O399">
        <v>0</v>
      </c>
      <c r="P399">
        <v>91.25</v>
      </c>
      <c r="Q399">
        <v>0</v>
      </c>
      <c r="R399" s="2">
        <v>0</v>
      </c>
      <c r="S399">
        <v>1</v>
      </c>
      <c r="T399">
        <v>1</v>
      </c>
    </row>
    <row r="400" spans="1:20" x14ac:dyDescent="0.2">
      <c r="A400" t="s">
        <v>157</v>
      </c>
      <c r="B400" t="s">
        <v>158</v>
      </c>
      <c r="C400" t="s">
        <v>244</v>
      </c>
      <c r="D400" t="s">
        <v>207</v>
      </c>
      <c r="E400" t="s">
        <v>35</v>
      </c>
      <c r="F400" t="s">
        <v>58</v>
      </c>
      <c r="G400" t="s">
        <v>36</v>
      </c>
      <c r="H400" t="s">
        <v>27</v>
      </c>
      <c r="I400" t="s">
        <v>75</v>
      </c>
      <c r="J400" t="s">
        <v>29</v>
      </c>
      <c r="K400" t="s">
        <v>46</v>
      </c>
      <c r="L400" t="s">
        <v>31</v>
      </c>
      <c r="M400" s="1">
        <v>969644.82</v>
      </c>
      <c r="N400">
        <v>1</v>
      </c>
      <c r="O400">
        <v>1</v>
      </c>
      <c r="P400">
        <v>91.25</v>
      </c>
      <c r="Q400">
        <v>0</v>
      </c>
      <c r="R400" s="2">
        <v>1</v>
      </c>
      <c r="S400">
        <v>0</v>
      </c>
      <c r="T400">
        <v>0</v>
      </c>
    </row>
    <row r="401" spans="1:20" x14ac:dyDescent="0.2">
      <c r="A401" t="s">
        <v>245</v>
      </c>
      <c r="B401" t="s">
        <v>158</v>
      </c>
      <c r="C401" t="s">
        <v>246</v>
      </c>
      <c r="D401" t="s">
        <v>247</v>
      </c>
      <c r="E401" t="s">
        <v>35</v>
      </c>
      <c r="F401" t="s">
        <v>25</v>
      </c>
      <c r="G401" t="s">
        <v>36</v>
      </c>
      <c r="H401" t="s">
        <v>27</v>
      </c>
      <c r="I401" t="s">
        <v>75</v>
      </c>
      <c r="J401" t="s">
        <v>29</v>
      </c>
      <c r="K401" t="s">
        <v>46</v>
      </c>
      <c r="L401" t="s">
        <v>38</v>
      </c>
      <c r="M401" s="1">
        <v>0</v>
      </c>
      <c r="N401">
        <v>0</v>
      </c>
      <c r="O401">
        <v>0</v>
      </c>
      <c r="P401">
        <v>91.25</v>
      </c>
      <c r="Q401">
        <v>0</v>
      </c>
      <c r="R401" s="2">
        <v>0</v>
      </c>
      <c r="S401">
        <v>1</v>
      </c>
      <c r="T401">
        <v>1</v>
      </c>
    </row>
    <row r="402" spans="1:20" x14ac:dyDescent="0.2">
      <c r="A402" t="s">
        <v>261</v>
      </c>
      <c r="B402" t="s">
        <v>262</v>
      </c>
      <c r="C402" t="s">
        <v>263</v>
      </c>
      <c r="D402" t="s">
        <v>264</v>
      </c>
      <c r="E402" t="s">
        <v>35</v>
      </c>
      <c r="F402" t="s">
        <v>25</v>
      </c>
      <c r="G402" t="s">
        <v>36</v>
      </c>
      <c r="H402" t="s">
        <v>27</v>
      </c>
      <c r="I402" t="s">
        <v>75</v>
      </c>
      <c r="J402" t="s">
        <v>29</v>
      </c>
      <c r="K402" t="s">
        <v>30</v>
      </c>
      <c r="L402" t="s">
        <v>38</v>
      </c>
      <c r="M402" s="1">
        <v>1757868.79</v>
      </c>
      <c r="N402">
        <v>1</v>
      </c>
      <c r="O402">
        <v>1</v>
      </c>
      <c r="P402">
        <v>91.25</v>
      </c>
      <c r="Q402">
        <v>0</v>
      </c>
      <c r="R402" s="2">
        <v>1</v>
      </c>
      <c r="S402">
        <v>0</v>
      </c>
      <c r="T402">
        <v>0</v>
      </c>
    </row>
    <row r="403" spans="1:20" x14ac:dyDescent="0.2">
      <c r="A403" t="s">
        <v>265</v>
      </c>
      <c r="B403" t="s">
        <v>262</v>
      </c>
      <c r="C403" t="s">
        <v>266</v>
      </c>
      <c r="D403" t="s">
        <v>267</v>
      </c>
      <c r="E403" t="s">
        <v>35</v>
      </c>
      <c r="F403" t="s">
        <v>25</v>
      </c>
      <c r="G403" t="s">
        <v>36</v>
      </c>
      <c r="H403" t="s">
        <v>27</v>
      </c>
      <c r="I403" t="s">
        <v>75</v>
      </c>
      <c r="J403" t="s">
        <v>29</v>
      </c>
      <c r="K403" t="s">
        <v>46</v>
      </c>
      <c r="L403" t="s">
        <v>38</v>
      </c>
      <c r="M403" s="1">
        <v>1166363.22</v>
      </c>
      <c r="N403">
        <v>0</v>
      </c>
      <c r="O403">
        <v>1</v>
      </c>
      <c r="P403">
        <v>91.25</v>
      </c>
      <c r="Q403">
        <v>0</v>
      </c>
      <c r="R403" s="2">
        <v>1</v>
      </c>
      <c r="S403">
        <v>1</v>
      </c>
      <c r="T403">
        <v>0</v>
      </c>
    </row>
    <row r="404" spans="1:20" x14ac:dyDescent="0.2">
      <c r="A404" t="s">
        <v>261</v>
      </c>
      <c r="B404" t="s">
        <v>262</v>
      </c>
      <c r="C404" t="s">
        <v>206</v>
      </c>
      <c r="D404" t="s">
        <v>207</v>
      </c>
      <c r="E404" t="s">
        <v>35</v>
      </c>
      <c r="F404" t="s">
        <v>58</v>
      </c>
      <c r="G404" t="s">
        <v>36</v>
      </c>
      <c r="H404" t="s">
        <v>27</v>
      </c>
      <c r="I404" t="s">
        <v>75</v>
      </c>
      <c r="J404" t="s">
        <v>29</v>
      </c>
      <c r="K404" t="s">
        <v>46</v>
      </c>
      <c r="L404" t="s">
        <v>38</v>
      </c>
      <c r="M404" s="1">
        <v>0</v>
      </c>
      <c r="N404">
        <v>0</v>
      </c>
      <c r="O404">
        <v>0</v>
      </c>
      <c r="P404">
        <v>91.25</v>
      </c>
      <c r="Q404">
        <v>0</v>
      </c>
      <c r="R404" s="2">
        <v>0</v>
      </c>
      <c r="S404">
        <v>1</v>
      </c>
      <c r="T404">
        <v>1</v>
      </c>
    </row>
    <row r="405" spans="1:20" x14ac:dyDescent="0.2">
      <c r="A405" t="s">
        <v>304</v>
      </c>
      <c r="B405" t="s">
        <v>262</v>
      </c>
      <c r="C405" t="s">
        <v>305</v>
      </c>
      <c r="D405" t="s">
        <v>306</v>
      </c>
      <c r="E405" t="s">
        <v>35</v>
      </c>
      <c r="F405" t="s">
        <v>25</v>
      </c>
      <c r="G405" t="s">
        <v>36</v>
      </c>
      <c r="H405" t="s">
        <v>27</v>
      </c>
      <c r="I405" t="s">
        <v>75</v>
      </c>
      <c r="J405" t="s">
        <v>29</v>
      </c>
      <c r="K405" t="s">
        <v>46</v>
      </c>
      <c r="L405" t="s">
        <v>38</v>
      </c>
      <c r="M405" s="1">
        <v>0</v>
      </c>
      <c r="N405">
        <v>0</v>
      </c>
      <c r="O405">
        <v>0</v>
      </c>
      <c r="P405">
        <v>91.25</v>
      </c>
      <c r="Q405">
        <v>0</v>
      </c>
      <c r="R405" s="2">
        <v>0</v>
      </c>
      <c r="S405">
        <v>1</v>
      </c>
      <c r="T405">
        <v>1</v>
      </c>
    </row>
    <row r="406" spans="1:20" x14ac:dyDescent="0.2">
      <c r="A406" t="s">
        <v>261</v>
      </c>
      <c r="B406" t="s">
        <v>262</v>
      </c>
      <c r="C406" t="s">
        <v>244</v>
      </c>
      <c r="D406" t="s">
        <v>207</v>
      </c>
      <c r="E406" t="s">
        <v>35</v>
      </c>
      <c r="F406" t="s">
        <v>58</v>
      </c>
      <c r="G406" t="s">
        <v>36</v>
      </c>
      <c r="H406" t="s">
        <v>27</v>
      </c>
      <c r="I406" t="s">
        <v>75</v>
      </c>
      <c r="J406" t="s">
        <v>29</v>
      </c>
      <c r="K406" t="s">
        <v>46</v>
      </c>
      <c r="L406" t="s">
        <v>31</v>
      </c>
      <c r="M406" s="1">
        <v>241246.39</v>
      </c>
      <c r="N406">
        <v>1</v>
      </c>
      <c r="O406">
        <v>1</v>
      </c>
      <c r="P406">
        <v>91.25</v>
      </c>
      <c r="Q406">
        <v>0</v>
      </c>
      <c r="R406" s="2">
        <v>1</v>
      </c>
      <c r="S406">
        <v>0</v>
      </c>
      <c r="T406">
        <v>0</v>
      </c>
    </row>
    <row r="407" spans="1:20" x14ac:dyDescent="0.2">
      <c r="A407" t="s">
        <v>54</v>
      </c>
      <c r="B407" t="s">
        <v>21</v>
      </c>
      <c r="C407" t="s">
        <v>420</v>
      </c>
      <c r="D407" t="s">
        <v>421</v>
      </c>
      <c r="E407" t="s">
        <v>35</v>
      </c>
      <c r="F407" t="s">
        <v>25</v>
      </c>
      <c r="G407" t="s">
        <v>36</v>
      </c>
      <c r="H407" t="s">
        <v>319</v>
      </c>
      <c r="I407" t="s">
        <v>75</v>
      </c>
      <c r="J407" t="s">
        <v>29</v>
      </c>
      <c r="K407" t="s">
        <v>46</v>
      </c>
      <c r="L407" t="s">
        <v>31</v>
      </c>
      <c r="M407" s="1">
        <v>9091</v>
      </c>
      <c r="N407">
        <v>1</v>
      </c>
      <c r="O407">
        <v>1</v>
      </c>
      <c r="P407">
        <v>91.25</v>
      </c>
      <c r="Q407">
        <v>0</v>
      </c>
      <c r="R407" s="2">
        <v>1</v>
      </c>
      <c r="S407">
        <v>0</v>
      </c>
      <c r="T407">
        <v>0</v>
      </c>
    </row>
    <row r="408" spans="1:20" x14ac:dyDescent="0.2">
      <c r="A408" t="s">
        <v>51</v>
      </c>
      <c r="B408" t="s">
        <v>21</v>
      </c>
      <c r="C408" t="s">
        <v>426</v>
      </c>
      <c r="D408" t="s">
        <v>427</v>
      </c>
      <c r="E408" t="s">
        <v>35</v>
      </c>
      <c r="F408" t="s">
        <v>25</v>
      </c>
      <c r="G408" t="s">
        <v>36</v>
      </c>
      <c r="H408" t="s">
        <v>319</v>
      </c>
      <c r="I408" t="s">
        <v>75</v>
      </c>
      <c r="J408" t="s">
        <v>29</v>
      </c>
      <c r="K408" t="s">
        <v>46</v>
      </c>
      <c r="L408" t="s">
        <v>38</v>
      </c>
      <c r="M408" s="1">
        <v>0</v>
      </c>
      <c r="N408">
        <v>0</v>
      </c>
      <c r="O408">
        <v>0</v>
      </c>
      <c r="P408">
        <v>91.25</v>
      </c>
      <c r="Q408">
        <v>0</v>
      </c>
      <c r="R408" s="2">
        <v>0</v>
      </c>
      <c r="S408">
        <v>1</v>
      </c>
      <c r="T408">
        <v>1</v>
      </c>
    </row>
    <row r="409" spans="1:20" x14ac:dyDescent="0.2">
      <c r="A409" t="s">
        <v>428</v>
      </c>
      <c r="B409" t="s">
        <v>21</v>
      </c>
      <c r="C409" t="s">
        <v>429</v>
      </c>
      <c r="D409" t="s">
        <v>90</v>
      </c>
      <c r="E409" t="s">
        <v>35</v>
      </c>
      <c r="F409" t="s">
        <v>25</v>
      </c>
      <c r="G409" t="s">
        <v>36</v>
      </c>
      <c r="H409" t="s">
        <v>319</v>
      </c>
      <c r="I409" t="s">
        <v>75</v>
      </c>
      <c r="J409" t="s">
        <v>29</v>
      </c>
      <c r="K409" t="s">
        <v>46</v>
      </c>
      <c r="L409" t="s">
        <v>38</v>
      </c>
      <c r="M409" s="1">
        <v>0</v>
      </c>
      <c r="N409">
        <v>0</v>
      </c>
      <c r="O409">
        <v>0</v>
      </c>
      <c r="P409">
        <v>91.25</v>
      </c>
      <c r="Q409">
        <v>0</v>
      </c>
      <c r="R409" s="2">
        <v>0</v>
      </c>
      <c r="S409">
        <v>1</v>
      </c>
      <c r="T409">
        <v>1</v>
      </c>
    </row>
    <row r="410" spans="1:20" x14ac:dyDescent="0.2">
      <c r="A410" t="s">
        <v>443</v>
      </c>
      <c r="B410" t="s">
        <v>158</v>
      </c>
      <c r="C410" t="s">
        <v>444</v>
      </c>
      <c r="D410" t="s">
        <v>445</v>
      </c>
      <c r="E410" t="s">
        <v>35</v>
      </c>
      <c r="F410" t="s">
        <v>25</v>
      </c>
      <c r="G410" t="s">
        <v>36</v>
      </c>
      <c r="H410" t="s">
        <v>319</v>
      </c>
      <c r="I410" t="s">
        <v>75</v>
      </c>
      <c r="J410" t="s">
        <v>29</v>
      </c>
      <c r="K410" t="s">
        <v>46</v>
      </c>
      <c r="L410" t="s">
        <v>38</v>
      </c>
      <c r="M410" s="1">
        <v>0</v>
      </c>
      <c r="N410">
        <v>0</v>
      </c>
      <c r="O410">
        <v>0</v>
      </c>
      <c r="P410">
        <v>91.25</v>
      </c>
      <c r="Q410">
        <v>0</v>
      </c>
      <c r="R410" s="2">
        <v>0</v>
      </c>
      <c r="S410">
        <v>1</v>
      </c>
      <c r="T410">
        <v>1</v>
      </c>
    </row>
    <row r="411" spans="1:20" x14ac:dyDescent="0.2">
      <c r="A411" t="s">
        <v>265</v>
      </c>
      <c r="B411" t="s">
        <v>262</v>
      </c>
      <c r="C411" t="s">
        <v>533</v>
      </c>
      <c r="D411" t="s">
        <v>534</v>
      </c>
      <c r="E411" t="s">
        <v>35</v>
      </c>
      <c r="F411" t="s">
        <v>25</v>
      </c>
      <c r="G411" t="s">
        <v>36</v>
      </c>
      <c r="H411" t="s">
        <v>319</v>
      </c>
      <c r="I411" t="s">
        <v>75</v>
      </c>
      <c r="J411" t="s">
        <v>29</v>
      </c>
      <c r="K411" t="s">
        <v>30</v>
      </c>
      <c r="L411" t="s">
        <v>38</v>
      </c>
      <c r="M411" s="1">
        <v>47995.59</v>
      </c>
      <c r="N411">
        <v>0</v>
      </c>
      <c r="O411">
        <v>1</v>
      </c>
      <c r="P411">
        <v>91.25</v>
      </c>
      <c r="Q411">
        <v>0</v>
      </c>
      <c r="R411" s="2">
        <v>1</v>
      </c>
      <c r="S411">
        <v>1</v>
      </c>
      <c r="T411">
        <v>0</v>
      </c>
    </row>
    <row r="412" spans="1:20" x14ac:dyDescent="0.2">
      <c r="A412" t="s">
        <v>32</v>
      </c>
      <c r="B412" t="s">
        <v>21</v>
      </c>
      <c r="C412" t="s">
        <v>615</v>
      </c>
      <c r="D412" t="s">
        <v>616</v>
      </c>
      <c r="E412" t="s">
        <v>35</v>
      </c>
      <c r="F412" t="s">
        <v>25</v>
      </c>
      <c r="G412" t="s">
        <v>36</v>
      </c>
      <c r="H412" t="s">
        <v>550</v>
      </c>
      <c r="I412" t="s">
        <v>75</v>
      </c>
      <c r="J412" t="s">
        <v>29</v>
      </c>
      <c r="K412" t="s">
        <v>46</v>
      </c>
      <c r="L412" t="s">
        <v>38</v>
      </c>
      <c r="M412" s="1">
        <v>0</v>
      </c>
      <c r="N412">
        <v>0</v>
      </c>
      <c r="O412">
        <v>0</v>
      </c>
      <c r="P412">
        <v>91.25</v>
      </c>
      <c r="Q412">
        <v>0</v>
      </c>
      <c r="R412" s="2">
        <v>0</v>
      </c>
      <c r="S412">
        <v>1</v>
      </c>
      <c r="T412">
        <v>1</v>
      </c>
    </row>
    <row r="413" spans="1:20" x14ac:dyDescent="0.2">
      <c r="A413" t="s">
        <v>710</v>
      </c>
      <c r="B413" t="s">
        <v>262</v>
      </c>
      <c r="C413" t="s">
        <v>711</v>
      </c>
      <c r="D413" t="s">
        <v>712</v>
      </c>
      <c r="E413" t="s">
        <v>35</v>
      </c>
      <c r="F413" t="s">
        <v>25</v>
      </c>
      <c r="G413" t="s">
        <v>36</v>
      </c>
      <c r="H413" t="s">
        <v>550</v>
      </c>
      <c r="I413" t="s">
        <v>75</v>
      </c>
      <c r="J413" t="s">
        <v>29</v>
      </c>
      <c r="K413" t="s">
        <v>46</v>
      </c>
      <c r="L413" t="s">
        <v>31</v>
      </c>
      <c r="M413" s="1">
        <v>92514</v>
      </c>
      <c r="N413">
        <v>1</v>
      </c>
      <c r="O413">
        <v>1</v>
      </c>
      <c r="P413">
        <v>91.25</v>
      </c>
      <c r="Q413">
        <v>0</v>
      </c>
      <c r="R413" s="2">
        <v>1</v>
      </c>
      <c r="S413">
        <v>0</v>
      </c>
      <c r="T413">
        <v>0</v>
      </c>
    </row>
    <row r="414" spans="1:20" x14ac:dyDescent="0.2">
      <c r="A414" t="s">
        <v>713</v>
      </c>
      <c r="B414" t="s">
        <v>262</v>
      </c>
      <c r="C414" t="s">
        <v>714</v>
      </c>
      <c r="D414" t="s">
        <v>715</v>
      </c>
      <c r="E414" t="s">
        <v>35</v>
      </c>
      <c r="F414" t="s">
        <v>25</v>
      </c>
      <c r="G414" t="s">
        <v>36</v>
      </c>
      <c r="H414" t="s">
        <v>550</v>
      </c>
      <c r="I414" t="s">
        <v>75</v>
      </c>
      <c r="J414" t="s">
        <v>29</v>
      </c>
      <c r="K414" t="s">
        <v>46</v>
      </c>
      <c r="L414" t="s">
        <v>31</v>
      </c>
      <c r="M414" s="1">
        <v>85165.61</v>
      </c>
      <c r="N414">
        <v>1</v>
      </c>
      <c r="O414">
        <v>1</v>
      </c>
      <c r="P414">
        <v>91.25</v>
      </c>
      <c r="Q414">
        <v>0</v>
      </c>
      <c r="R414" s="2">
        <v>1</v>
      </c>
      <c r="S414">
        <v>0</v>
      </c>
      <c r="T414">
        <v>0</v>
      </c>
    </row>
    <row r="415" spans="1:20" x14ac:dyDescent="0.2">
      <c r="A415" t="s">
        <v>265</v>
      </c>
      <c r="B415" t="s">
        <v>262</v>
      </c>
      <c r="C415" t="s">
        <v>716</v>
      </c>
      <c r="D415" t="s">
        <v>717</v>
      </c>
      <c r="E415" t="s">
        <v>35</v>
      </c>
      <c r="F415" t="s">
        <v>25</v>
      </c>
      <c r="G415" t="s">
        <v>36</v>
      </c>
      <c r="H415" t="s">
        <v>550</v>
      </c>
      <c r="I415" t="s">
        <v>75</v>
      </c>
      <c r="J415" t="s">
        <v>29</v>
      </c>
      <c r="K415" t="s">
        <v>46</v>
      </c>
      <c r="L415" t="s">
        <v>38</v>
      </c>
      <c r="M415" s="1">
        <v>0</v>
      </c>
      <c r="N415">
        <v>0</v>
      </c>
      <c r="O415">
        <v>0</v>
      </c>
      <c r="P415">
        <v>91.25</v>
      </c>
      <c r="Q415">
        <v>0</v>
      </c>
      <c r="R415" s="2">
        <v>0</v>
      </c>
      <c r="S415">
        <v>1</v>
      </c>
      <c r="T415">
        <v>1</v>
      </c>
    </row>
    <row r="416" spans="1:20" x14ac:dyDescent="0.2">
      <c r="A416" t="s">
        <v>710</v>
      </c>
      <c r="B416" t="s">
        <v>262</v>
      </c>
      <c r="C416" t="s">
        <v>720</v>
      </c>
      <c r="D416" t="s">
        <v>721</v>
      </c>
      <c r="E416" t="s">
        <v>35</v>
      </c>
      <c r="F416" t="s">
        <v>25</v>
      </c>
      <c r="G416" t="s">
        <v>36</v>
      </c>
      <c r="H416" t="s">
        <v>550</v>
      </c>
      <c r="I416" t="s">
        <v>75</v>
      </c>
      <c r="J416" t="s">
        <v>29</v>
      </c>
      <c r="K416" t="s">
        <v>46</v>
      </c>
      <c r="L416" t="s">
        <v>31</v>
      </c>
      <c r="M416" s="1">
        <v>3788</v>
      </c>
      <c r="N416">
        <v>1</v>
      </c>
      <c r="O416">
        <v>1</v>
      </c>
      <c r="P416">
        <v>91.25</v>
      </c>
      <c r="Q416">
        <v>0</v>
      </c>
      <c r="R416" s="2">
        <v>1</v>
      </c>
      <c r="S416">
        <v>0</v>
      </c>
      <c r="T416">
        <v>0</v>
      </c>
    </row>
    <row r="417" spans="1:20" x14ac:dyDescent="0.2">
      <c r="A417" t="s">
        <v>277</v>
      </c>
      <c r="B417" t="s">
        <v>262</v>
      </c>
      <c r="C417" t="s">
        <v>734</v>
      </c>
      <c r="D417" t="s">
        <v>735</v>
      </c>
      <c r="E417" t="s">
        <v>35</v>
      </c>
      <c r="F417" t="s">
        <v>25</v>
      </c>
      <c r="G417" t="s">
        <v>36</v>
      </c>
      <c r="H417" t="s">
        <v>550</v>
      </c>
      <c r="I417" t="s">
        <v>75</v>
      </c>
      <c r="J417" t="s">
        <v>29</v>
      </c>
      <c r="K417" t="s">
        <v>46</v>
      </c>
      <c r="L417" t="s">
        <v>38</v>
      </c>
      <c r="M417" s="1">
        <v>0</v>
      </c>
      <c r="N417">
        <v>0</v>
      </c>
      <c r="O417">
        <v>0</v>
      </c>
      <c r="P417">
        <v>91.25</v>
      </c>
      <c r="Q417">
        <v>0</v>
      </c>
      <c r="R417" s="2">
        <v>0</v>
      </c>
      <c r="S417">
        <v>1</v>
      </c>
      <c r="T417">
        <v>1</v>
      </c>
    </row>
    <row r="418" spans="1:20" x14ac:dyDescent="0.2">
      <c r="A418" t="s">
        <v>32</v>
      </c>
      <c r="B418" t="s">
        <v>21</v>
      </c>
      <c r="C418" t="s">
        <v>754</v>
      </c>
      <c r="D418" t="s">
        <v>755</v>
      </c>
      <c r="E418" t="s">
        <v>35</v>
      </c>
      <c r="F418" t="s">
        <v>25</v>
      </c>
      <c r="G418" t="s">
        <v>36</v>
      </c>
      <c r="H418" t="s">
        <v>748</v>
      </c>
      <c r="I418" t="s">
        <v>75</v>
      </c>
      <c r="J418" t="s">
        <v>29</v>
      </c>
      <c r="K418" t="s">
        <v>46</v>
      </c>
      <c r="L418" t="s">
        <v>38</v>
      </c>
      <c r="M418" s="1">
        <v>0</v>
      </c>
      <c r="N418">
        <v>0</v>
      </c>
      <c r="O418">
        <v>0</v>
      </c>
      <c r="P418">
        <v>91.25</v>
      </c>
      <c r="Q418">
        <v>0</v>
      </c>
      <c r="R418" s="2">
        <v>0</v>
      </c>
      <c r="S418">
        <v>1</v>
      </c>
      <c r="T418">
        <v>1</v>
      </c>
    </row>
    <row r="419" spans="1:20" x14ac:dyDescent="0.2">
      <c r="A419" t="s">
        <v>782</v>
      </c>
      <c r="B419" t="s">
        <v>21</v>
      </c>
      <c r="C419" t="s">
        <v>783</v>
      </c>
      <c r="D419" t="s">
        <v>784</v>
      </c>
      <c r="E419" t="s">
        <v>35</v>
      </c>
      <c r="F419" t="s">
        <v>25</v>
      </c>
      <c r="G419" t="s">
        <v>36</v>
      </c>
      <c r="H419" t="s">
        <v>748</v>
      </c>
      <c r="I419" t="s">
        <v>75</v>
      </c>
      <c r="J419" t="s">
        <v>29</v>
      </c>
      <c r="K419" t="s">
        <v>46</v>
      </c>
      <c r="L419" t="s">
        <v>38</v>
      </c>
      <c r="M419" s="1">
        <v>0</v>
      </c>
      <c r="N419">
        <v>0</v>
      </c>
      <c r="O419">
        <v>0</v>
      </c>
      <c r="P419">
        <v>91.25</v>
      </c>
      <c r="Q419">
        <v>0</v>
      </c>
      <c r="R419" s="2">
        <v>0</v>
      </c>
      <c r="S419">
        <v>1</v>
      </c>
      <c r="T419">
        <v>1</v>
      </c>
    </row>
    <row r="420" spans="1:20" x14ac:dyDescent="0.2">
      <c r="A420" t="s">
        <v>96</v>
      </c>
      <c r="B420" t="s">
        <v>21</v>
      </c>
      <c r="C420" t="s">
        <v>785</v>
      </c>
      <c r="D420" t="s">
        <v>786</v>
      </c>
      <c r="E420" t="s">
        <v>35</v>
      </c>
      <c r="F420" t="s">
        <v>58</v>
      </c>
      <c r="G420" t="s">
        <v>36</v>
      </c>
      <c r="H420" t="s">
        <v>748</v>
      </c>
      <c r="I420" t="s">
        <v>75</v>
      </c>
      <c r="J420" t="s">
        <v>29</v>
      </c>
      <c r="K420" t="s">
        <v>46</v>
      </c>
      <c r="L420" t="s">
        <v>38</v>
      </c>
      <c r="M420" s="1">
        <v>0</v>
      </c>
      <c r="N420">
        <v>0</v>
      </c>
      <c r="O420">
        <v>0</v>
      </c>
      <c r="P420">
        <v>91.25</v>
      </c>
      <c r="Q420">
        <v>0</v>
      </c>
      <c r="R420" s="2">
        <v>0</v>
      </c>
      <c r="S420">
        <v>1</v>
      </c>
      <c r="T420">
        <v>1</v>
      </c>
    </row>
    <row r="421" spans="1:20" x14ac:dyDescent="0.2">
      <c r="A421" t="s">
        <v>789</v>
      </c>
      <c r="B421" t="s">
        <v>21</v>
      </c>
      <c r="C421" t="s">
        <v>790</v>
      </c>
      <c r="D421" t="s">
        <v>791</v>
      </c>
      <c r="E421" t="s">
        <v>35</v>
      </c>
      <c r="F421" t="s">
        <v>25</v>
      </c>
      <c r="G421" t="s">
        <v>36</v>
      </c>
      <c r="H421" t="s">
        <v>748</v>
      </c>
      <c r="I421" t="s">
        <v>75</v>
      </c>
      <c r="J421" t="s">
        <v>29</v>
      </c>
      <c r="K421" t="s">
        <v>46</v>
      </c>
      <c r="L421" t="s">
        <v>38</v>
      </c>
      <c r="M421" s="1">
        <v>0</v>
      </c>
      <c r="N421">
        <v>0</v>
      </c>
      <c r="O421">
        <v>0</v>
      </c>
      <c r="P421">
        <v>91.25</v>
      </c>
      <c r="Q421">
        <v>0</v>
      </c>
      <c r="R421" s="2">
        <v>0</v>
      </c>
      <c r="S421">
        <v>1</v>
      </c>
      <c r="T421">
        <v>1</v>
      </c>
    </row>
    <row r="422" spans="1:20" x14ac:dyDescent="0.2">
      <c r="A422" t="s">
        <v>96</v>
      </c>
      <c r="B422" t="s">
        <v>21</v>
      </c>
      <c r="C422" t="s">
        <v>792</v>
      </c>
      <c r="D422" t="s">
        <v>793</v>
      </c>
      <c r="E422" t="s">
        <v>35</v>
      </c>
      <c r="F422" t="s">
        <v>58</v>
      </c>
      <c r="G422" t="s">
        <v>36</v>
      </c>
      <c r="H422" t="s">
        <v>748</v>
      </c>
      <c r="I422" t="s">
        <v>75</v>
      </c>
      <c r="J422" t="s">
        <v>29</v>
      </c>
      <c r="K422" t="s">
        <v>46</v>
      </c>
      <c r="L422" t="s">
        <v>38</v>
      </c>
      <c r="M422" s="1">
        <v>0</v>
      </c>
      <c r="N422">
        <v>0</v>
      </c>
      <c r="O422">
        <v>0</v>
      </c>
      <c r="P422">
        <v>91.25</v>
      </c>
      <c r="Q422">
        <v>0</v>
      </c>
      <c r="R422" s="2">
        <v>0</v>
      </c>
      <c r="S422">
        <v>1</v>
      </c>
      <c r="T422">
        <v>1</v>
      </c>
    </row>
    <row r="423" spans="1:20" x14ac:dyDescent="0.2">
      <c r="A423" t="s">
        <v>32</v>
      </c>
      <c r="B423" t="s">
        <v>21</v>
      </c>
      <c r="C423" t="s">
        <v>798</v>
      </c>
      <c r="D423" t="s">
        <v>799</v>
      </c>
      <c r="E423" t="s">
        <v>35</v>
      </c>
      <c r="F423" t="s">
        <v>25</v>
      </c>
      <c r="G423" t="s">
        <v>36</v>
      </c>
      <c r="H423" t="s">
        <v>748</v>
      </c>
      <c r="I423" t="s">
        <v>75</v>
      </c>
      <c r="J423" t="s">
        <v>29</v>
      </c>
      <c r="K423" t="s">
        <v>46</v>
      </c>
      <c r="L423" t="s">
        <v>38</v>
      </c>
      <c r="M423" s="1">
        <v>0</v>
      </c>
      <c r="N423">
        <v>0</v>
      </c>
      <c r="O423">
        <v>0</v>
      </c>
      <c r="P423">
        <v>91.25</v>
      </c>
      <c r="Q423">
        <v>0</v>
      </c>
      <c r="R423" s="2">
        <v>0</v>
      </c>
      <c r="S423">
        <v>1</v>
      </c>
      <c r="T423">
        <v>1</v>
      </c>
    </row>
    <row r="424" spans="1:20" x14ac:dyDescent="0.2">
      <c r="A424" t="s">
        <v>814</v>
      </c>
      <c r="B424" t="s">
        <v>21</v>
      </c>
      <c r="C424" t="s">
        <v>824</v>
      </c>
      <c r="D424" t="s">
        <v>825</v>
      </c>
      <c r="E424" t="s">
        <v>35</v>
      </c>
      <c r="F424" t="s">
        <v>25</v>
      </c>
      <c r="G424" t="s">
        <v>36</v>
      </c>
      <c r="H424" t="s">
        <v>748</v>
      </c>
      <c r="I424" t="s">
        <v>75</v>
      </c>
      <c r="J424" t="s">
        <v>29</v>
      </c>
      <c r="K424" t="s">
        <v>46</v>
      </c>
      <c r="L424" t="s">
        <v>31</v>
      </c>
      <c r="M424" s="1">
        <v>747859.87</v>
      </c>
      <c r="N424">
        <v>1</v>
      </c>
      <c r="O424">
        <v>1</v>
      </c>
      <c r="P424">
        <v>91.25</v>
      </c>
      <c r="Q424">
        <v>0</v>
      </c>
      <c r="R424" s="2">
        <v>1</v>
      </c>
      <c r="S424">
        <v>0</v>
      </c>
      <c r="T424">
        <v>0</v>
      </c>
    </row>
    <row r="425" spans="1:20" x14ac:dyDescent="0.2">
      <c r="A425" t="s">
        <v>713</v>
      </c>
      <c r="B425" t="s">
        <v>158</v>
      </c>
      <c r="C425" t="s">
        <v>878</v>
      </c>
      <c r="D425" t="s">
        <v>879</v>
      </c>
      <c r="E425" t="s">
        <v>35</v>
      </c>
      <c r="F425" t="s">
        <v>25</v>
      </c>
      <c r="G425" t="s">
        <v>36</v>
      </c>
      <c r="H425" t="s">
        <v>748</v>
      </c>
      <c r="I425" t="s">
        <v>75</v>
      </c>
      <c r="J425" t="s">
        <v>29</v>
      </c>
      <c r="K425" t="s">
        <v>46</v>
      </c>
      <c r="L425" t="s">
        <v>31</v>
      </c>
      <c r="M425" s="1">
        <v>372307.56</v>
      </c>
      <c r="N425">
        <v>1</v>
      </c>
      <c r="O425">
        <v>1</v>
      </c>
      <c r="P425">
        <v>91.25</v>
      </c>
      <c r="Q425">
        <v>0</v>
      </c>
      <c r="R425" s="2">
        <v>1</v>
      </c>
      <c r="S425">
        <v>0</v>
      </c>
      <c r="T425">
        <v>0</v>
      </c>
    </row>
    <row r="426" spans="1:20" x14ac:dyDescent="0.2">
      <c r="A426" t="s">
        <v>880</v>
      </c>
      <c r="B426" t="s">
        <v>158</v>
      </c>
      <c r="C426" t="s">
        <v>881</v>
      </c>
      <c r="D426" t="s">
        <v>882</v>
      </c>
      <c r="E426" t="s">
        <v>35</v>
      </c>
      <c r="F426" t="s">
        <v>25</v>
      </c>
      <c r="G426" t="s">
        <v>36</v>
      </c>
      <c r="H426" t="s">
        <v>748</v>
      </c>
      <c r="I426" t="s">
        <v>75</v>
      </c>
      <c r="J426" t="s">
        <v>29</v>
      </c>
      <c r="K426" t="s">
        <v>46</v>
      </c>
      <c r="L426" t="s">
        <v>38</v>
      </c>
      <c r="M426" s="1">
        <v>0</v>
      </c>
      <c r="N426">
        <v>0</v>
      </c>
      <c r="O426">
        <v>0</v>
      </c>
      <c r="P426">
        <v>91.25</v>
      </c>
      <c r="Q426">
        <v>0</v>
      </c>
      <c r="R426" s="2">
        <v>0</v>
      </c>
      <c r="S426">
        <v>1</v>
      </c>
      <c r="T426">
        <v>1</v>
      </c>
    </row>
    <row r="427" spans="1:20" x14ac:dyDescent="0.2">
      <c r="A427" t="s">
        <v>345</v>
      </c>
      <c r="B427" t="s">
        <v>158</v>
      </c>
      <c r="C427" t="s">
        <v>885</v>
      </c>
      <c r="D427" t="s">
        <v>886</v>
      </c>
      <c r="E427" t="s">
        <v>35</v>
      </c>
      <c r="F427" t="s">
        <v>25</v>
      </c>
      <c r="G427" t="s">
        <v>36</v>
      </c>
      <c r="H427" t="s">
        <v>748</v>
      </c>
      <c r="I427" t="s">
        <v>75</v>
      </c>
      <c r="J427" t="s">
        <v>29</v>
      </c>
      <c r="K427" t="s">
        <v>46</v>
      </c>
      <c r="L427" t="s">
        <v>38</v>
      </c>
      <c r="M427" s="1">
        <v>0</v>
      </c>
      <c r="N427">
        <v>0</v>
      </c>
      <c r="O427">
        <v>0</v>
      </c>
      <c r="P427">
        <v>91.25</v>
      </c>
      <c r="Q427">
        <v>0</v>
      </c>
      <c r="R427" s="2">
        <v>0</v>
      </c>
      <c r="S427">
        <v>1</v>
      </c>
      <c r="T427">
        <v>1</v>
      </c>
    </row>
    <row r="428" spans="1:20" x14ac:dyDescent="0.2">
      <c r="A428" t="s">
        <v>814</v>
      </c>
      <c r="B428" t="s">
        <v>21</v>
      </c>
      <c r="C428" t="s">
        <v>1201</v>
      </c>
      <c r="D428" t="s">
        <v>1202</v>
      </c>
      <c r="E428" t="s">
        <v>35</v>
      </c>
      <c r="F428" t="s">
        <v>25</v>
      </c>
      <c r="G428" t="s">
        <v>36</v>
      </c>
      <c r="H428" t="s">
        <v>1071</v>
      </c>
      <c r="I428" t="s">
        <v>75</v>
      </c>
      <c r="J428" t="s">
        <v>29</v>
      </c>
      <c r="K428" t="s">
        <v>46</v>
      </c>
      <c r="L428" t="s">
        <v>556</v>
      </c>
      <c r="M428" s="1">
        <v>0</v>
      </c>
      <c r="N428">
        <v>0</v>
      </c>
      <c r="O428">
        <v>0</v>
      </c>
      <c r="P428">
        <v>91.25</v>
      </c>
      <c r="Q428">
        <v>1</v>
      </c>
      <c r="R428" s="2">
        <v>0</v>
      </c>
      <c r="S428">
        <v>0</v>
      </c>
      <c r="T428">
        <v>0</v>
      </c>
    </row>
    <row r="429" spans="1:20" x14ac:dyDescent="0.2">
      <c r="A429" t="s">
        <v>571</v>
      </c>
      <c r="B429" t="s">
        <v>21</v>
      </c>
      <c r="C429" t="s">
        <v>1203</v>
      </c>
      <c r="D429" t="s">
        <v>1204</v>
      </c>
      <c r="E429" t="s">
        <v>35</v>
      </c>
      <c r="F429" t="s">
        <v>58</v>
      </c>
      <c r="G429" t="s">
        <v>36</v>
      </c>
      <c r="H429" t="s">
        <v>1071</v>
      </c>
      <c r="I429" t="s">
        <v>75</v>
      </c>
      <c r="J429" t="s">
        <v>29</v>
      </c>
      <c r="K429" t="s">
        <v>46</v>
      </c>
      <c r="L429" t="s">
        <v>556</v>
      </c>
      <c r="M429" s="1">
        <v>0</v>
      </c>
      <c r="N429">
        <v>0</v>
      </c>
      <c r="O429">
        <v>0</v>
      </c>
      <c r="P429">
        <v>91.25</v>
      </c>
      <c r="Q429">
        <v>1</v>
      </c>
      <c r="R429" s="2">
        <v>0</v>
      </c>
      <c r="S429">
        <v>0</v>
      </c>
      <c r="T429">
        <v>0</v>
      </c>
    </row>
    <row r="430" spans="1:20" x14ac:dyDescent="0.2">
      <c r="A430" t="s">
        <v>914</v>
      </c>
      <c r="B430" t="s">
        <v>158</v>
      </c>
      <c r="C430" t="s">
        <v>1544</v>
      </c>
      <c r="D430" t="s">
        <v>1545</v>
      </c>
      <c r="E430" t="s">
        <v>35</v>
      </c>
      <c r="F430" t="s">
        <v>25</v>
      </c>
      <c r="G430" t="s">
        <v>36</v>
      </c>
      <c r="H430" t="s">
        <v>1410</v>
      </c>
      <c r="I430" t="s">
        <v>75</v>
      </c>
      <c r="J430" t="s">
        <v>29</v>
      </c>
      <c r="K430" t="s">
        <v>46</v>
      </c>
      <c r="L430" t="s">
        <v>556</v>
      </c>
      <c r="M430" s="1">
        <v>0</v>
      </c>
      <c r="N430">
        <v>0</v>
      </c>
      <c r="O430">
        <v>0</v>
      </c>
      <c r="P430">
        <v>91.25</v>
      </c>
      <c r="Q430">
        <v>1</v>
      </c>
      <c r="R430" s="2">
        <v>0</v>
      </c>
      <c r="S430">
        <v>0</v>
      </c>
      <c r="T430">
        <v>0</v>
      </c>
    </row>
    <row r="431" spans="1:20" x14ac:dyDescent="0.2">
      <c r="A431" t="s">
        <v>202</v>
      </c>
      <c r="B431" t="s">
        <v>158</v>
      </c>
      <c r="C431" t="s">
        <v>203</v>
      </c>
      <c r="D431" t="s">
        <v>204</v>
      </c>
      <c r="E431" t="s">
        <v>35</v>
      </c>
      <c r="F431" t="s">
        <v>25</v>
      </c>
      <c r="G431" t="s">
        <v>36</v>
      </c>
      <c r="H431" t="s">
        <v>27</v>
      </c>
      <c r="I431" t="s">
        <v>205</v>
      </c>
      <c r="J431" t="s">
        <v>29</v>
      </c>
      <c r="K431" t="s">
        <v>46</v>
      </c>
      <c r="L431" t="s">
        <v>38</v>
      </c>
      <c r="M431" s="1">
        <v>0</v>
      </c>
      <c r="N431">
        <v>0</v>
      </c>
      <c r="O431">
        <v>0</v>
      </c>
      <c r="P431">
        <v>91.25</v>
      </c>
      <c r="Q431">
        <v>0</v>
      </c>
      <c r="R431" s="2">
        <v>0</v>
      </c>
      <c r="S431">
        <v>1</v>
      </c>
      <c r="T431">
        <v>1</v>
      </c>
    </row>
    <row r="432" spans="1:20" x14ac:dyDescent="0.2">
      <c r="A432" t="s">
        <v>345</v>
      </c>
      <c r="B432" t="s">
        <v>21</v>
      </c>
      <c r="C432" t="s">
        <v>346</v>
      </c>
      <c r="D432" t="s">
        <v>347</v>
      </c>
      <c r="E432" t="s">
        <v>35</v>
      </c>
      <c r="F432" t="s">
        <v>25</v>
      </c>
      <c r="G432" t="s">
        <v>36</v>
      </c>
      <c r="H432" t="s">
        <v>319</v>
      </c>
      <c r="I432" t="s">
        <v>205</v>
      </c>
      <c r="J432" t="s">
        <v>29</v>
      </c>
      <c r="K432" t="s">
        <v>46</v>
      </c>
      <c r="L432" t="s">
        <v>38</v>
      </c>
      <c r="M432" s="1">
        <v>0</v>
      </c>
      <c r="N432">
        <v>0</v>
      </c>
      <c r="O432">
        <v>0</v>
      </c>
      <c r="P432">
        <v>91.25</v>
      </c>
      <c r="Q432">
        <v>0</v>
      </c>
      <c r="R432" s="2">
        <v>0</v>
      </c>
      <c r="S432">
        <v>1</v>
      </c>
      <c r="T432">
        <v>1</v>
      </c>
    </row>
    <row r="433" spans="1:20" x14ac:dyDescent="0.2">
      <c r="A433" t="s">
        <v>561</v>
      </c>
      <c r="B433" t="s">
        <v>21</v>
      </c>
      <c r="C433" t="s">
        <v>562</v>
      </c>
      <c r="D433" t="s">
        <v>563</v>
      </c>
      <c r="E433" t="s">
        <v>35</v>
      </c>
      <c r="F433" t="s">
        <v>25</v>
      </c>
      <c r="G433" t="s">
        <v>36</v>
      </c>
      <c r="H433" t="s">
        <v>550</v>
      </c>
      <c r="I433" t="s">
        <v>205</v>
      </c>
      <c r="J433" t="s">
        <v>29</v>
      </c>
      <c r="K433" t="s">
        <v>46</v>
      </c>
      <c r="L433" t="s">
        <v>38</v>
      </c>
      <c r="M433" s="1">
        <v>0</v>
      </c>
      <c r="N433">
        <v>0</v>
      </c>
      <c r="O433">
        <v>0</v>
      </c>
      <c r="P433">
        <v>91.25</v>
      </c>
      <c r="Q433">
        <v>0</v>
      </c>
      <c r="R433" s="2">
        <v>0</v>
      </c>
      <c r="S433">
        <v>1</v>
      </c>
      <c r="T433">
        <v>1</v>
      </c>
    </row>
    <row r="434" spans="1:20" x14ac:dyDescent="0.2">
      <c r="A434" t="s">
        <v>705</v>
      </c>
      <c r="B434" t="s">
        <v>262</v>
      </c>
      <c r="C434" t="s">
        <v>1022</v>
      </c>
      <c r="D434" t="s">
        <v>1023</v>
      </c>
      <c r="E434" t="s">
        <v>35</v>
      </c>
      <c r="F434" t="s">
        <v>25</v>
      </c>
      <c r="G434" t="s">
        <v>36</v>
      </c>
      <c r="H434" t="s">
        <v>748</v>
      </c>
      <c r="I434" t="s">
        <v>205</v>
      </c>
      <c r="J434" t="s">
        <v>29</v>
      </c>
      <c r="K434" t="s">
        <v>46</v>
      </c>
      <c r="L434" t="s">
        <v>38</v>
      </c>
      <c r="M434" s="1">
        <v>0</v>
      </c>
      <c r="N434">
        <v>0</v>
      </c>
      <c r="O434">
        <v>0</v>
      </c>
      <c r="P434">
        <v>91.25</v>
      </c>
      <c r="Q434">
        <v>0</v>
      </c>
      <c r="R434" s="2">
        <v>0</v>
      </c>
      <c r="S434">
        <v>1</v>
      </c>
      <c r="T434">
        <v>1</v>
      </c>
    </row>
    <row r="435" spans="1:20" x14ac:dyDescent="0.2">
      <c r="A435" t="s">
        <v>782</v>
      </c>
      <c r="B435" t="s">
        <v>262</v>
      </c>
      <c r="C435" t="s">
        <v>1399</v>
      </c>
      <c r="D435" t="s">
        <v>1400</v>
      </c>
      <c r="E435" t="s">
        <v>35</v>
      </c>
      <c r="F435" t="s">
        <v>25</v>
      </c>
      <c r="G435" t="s">
        <v>36</v>
      </c>
      <c r="H435" t="s">
        <v>1071</v>
      </c>
      <c r="I435" t="s">
        <v>205</v>
      </c>
      <c r="J435" t="s">
        <v>29</v>
      </c>
      <c r="K435" t="s">
        <v>46</v>
      </c>
      <c r="L435" t="s">
        <v>556</v>
      </c>
      <c r="M435" s="1">
        <v>0</v>
      </c>
      <c r="N435">
        <v>0</v>
      </c>
      <c r="O435">
        <v>0</v>
      </c>
      <c r="P435">
        <v>91.25</v>
      </c>
      <c r="Q435">
        <v>1</v>
      </c>
      <c r="R435" s="2">
        <v>0</v>
      </c>
      <c r="S435">
        <v>0</v>
      </c>
      <c r="T435">
        <v>0</v>
      </c>
    </row>
    <row r="436" spans="1:20" x14ac:dyDescent="0.2">
      <c r="A436" t="s">
        <v>186</v>
      </c>
      <c r="B436" t="s">
        <v>158</v>
      </c>
      <c r="C436" t="s">
        <v>214</v>
      </c>
      <c r="D436" t="s">
        <v>215</v>
      </c>
      <c r="E436" t="s">
        <v>35</v>
      </c>
      <c r="F436" t="s">
        <v>25</v>
      </c>
      <c r="G436" t="s">
        <v>36</v>
      </c>
      <c r="H436" t="s">
        <v>27</v>
      </c>
      <c r="I436" t="s">
        <v>216</v>
      </c>
      <c r="J436" t="s">
        <v>45</v>
      </c>
      <c r="K436" t="s">
        <v>46</v>
      </c>
      <c r="L436" t="s">
        <v>38</v>
      </c>
      <c r="M436" s="1">
        <v>0</v>
      </c>
      <c r="N436">
        <v>0</v>
      </c>
      <c r="O436">
        <v>0</v>
      </c>
      <c r="P436">
        <v>91.25</v>
      </c>
      <c r="Q436">
        <v>0</v>
      </c>
      <c r="R436" s="2">
        <v>0</v>
      </c>
      <c r="S436">
        <v>1</v>
      </c>
      <c r="T436">
        <v>1</v>
      </c>
    </row>
    <row r="437" spans="1:20" x14ac:dyDescent="0.2">
      <c r="A437" t="s">
        <v>502</v>
      </c>
      <c r="B437" t="s">
        <v>250</v>
      </c>
      <c r="C437" t="s">
        <v>503</v>
      </c>
      <c r="D437" t="s">
        <v>504</v>
      </c>
      <c r="E437" t="s">
        <v>35</v>
      </c>
      <c r="F437" t="s">
        <v>25</v>
      </c>
      <c r="G437" t="s">
        <v>36</v>
      </c>
      <c r="H437" t="s">
        <v>319</v>
      </c>
      <c r="I437" t="s">
        <v>216</v>
      </c>
      <c r="J437" t="s">
        <v>45</v>
      </c>
      <c r="K437" t="s">
        <v>46</v>
      </c>
      <c r="L437" t="s">
        <v>38</v>
      </c>
      <c r="M437" s="1">
        <v>0</v>
      </c>
      <c r="N437">
        <v>0</v>
      </c>
      <c r="O437">
        <v>0</v>
      </c>
      <c r="P437">
        <v>91.25</v>
      </c>
      <c r="Q437">
        <v>0</v>
      </c>
      <c r="R437" s="2">
        <v>0</v>
      </c>
      <c r="S437">
        <v>1</v>
      </c>
      <c r="T437">
        <v>1</v>
      </c>
    </row>
    <row r="438" spans="1:20" x14ac:dyDescent="0.2">
      <c r="A438" t="s">
        <v>324</v>
      </c>
      <c r="B438" t="s">
        <v>21</v>
      </c>
      <c r="C438" t="s">
        <v>417</v>
      </c>
      <c r="D438" t="s">
        <v>418</v>
      </c>
      <c r="E438" t="s">
        <v>35</v>
      </c>
      <c r="F438" t="s">
        <v>25</v>
      </c>
      <c r="G438" t="s">
        <v>36</v>
      </c>
      <c r="H438" t="s">
        <v>319</v>
      </c>
      <c r="I438" t="s">
        <v>419</v>
      </c>
      <c r="J438" t="s">
        <v>29</v>
      </c>
      <c r="K438" t="s">
        <v>46</v>
      </c>
      <c r="L438" t="s">
        <v>38</v>
      </c>
      <c r="M438" s="1">
        <v>0</v>
      </c>
      <c r="N438">
        <v>0</v>
      </c>
      <c r="O438">
        <v>0</v>
      </c>
      <c r="P438">
        <v>91.25</v>
      </c>
      <c r="Q438">
        <v>0</v>
      </c>
      <c r="R438" s="2">
        <v>0</v>
      </c>
      <c r="S438">
        <v>1</v>
      </c>
      <c r="T438">
        <v>1</v>
      </c>
    </row>
    <row r="439" spans="1:20" x14ac:dyDescent="0.2">
      <c r="A439" t="s">
        <v>51</v>
      </c>
      <c r="B439" t="s">
        <v>21</v>
      </c>
      <c r="C439" t="s">
        <v>580</v>
      </c>
      <c r="D439" t="s">
        <v>581</v>
      </c>
      <c r="E439" t="s">
        <v>35</v>
      </c>
      <c r="F439" t="s">
        <v>25</v>
      </c>
      <c r="G439" t="s">
        <v>36</v>
      </c>
      <c r="H439" t="s">
        <v>550</v>
      </c>
      <c r="I439" t="s">
        <v>419</v>
      </c>
      <c r="J439" t="s">
        <v>29</v>
      </c>
      <c r="K439" t="s">
        <v>46</v>
      </c>
      <c r="L439" t="s">
        <v>38</v>
      </c>
      <c r="M439" s="1">
        <v>0</v>
      </c>
      <c r="N439">
        <v>0</v>
      </c>
      <c r="O439">
        <v>0</v>
      </c>
      <c r="P439">
        <v>91.25</v>
      </c>
      <c r="Q439">
        <v>0</v>
      </c>
      <c r="R439" s="2">
        <v>0</v>
      </c>
      <c r="S439">
        <v>1</v>
      </c>
      <c r="T439">
        <v>1</v>
      </c>
    </row>
    <row r="440" spans="1:20" x14ac:dyDescent="0.2">
      <c r="A440" t="s">
        <v>126</v>
      </c>
      <c r="B440" t="s">
        <v>21</v>
      </c>
      <c r="C440" t="s">
        <v>800</v>
      </c>
      <c r="D440" t="s">
        <v>801</v>
      </c>
      <c r="E440" t="s">
        <v>35</v>
      </c>
      <c r="F440" t="s">
        <v>25</v>
      </c>
      <c r="G440" t="s">
        <v>36</v>
      </c>
      <c r="H440" t="s">
        <v>748</v>
      </c>
      <c r="I440" t="s">
        <v>419</v>
      </c>
      <c r="J440" t="s">
        <v>29</v>
      </c>
      <c r="K440" t="s">
        <v>46</v>
      </c>
      <c r="L440" t="s">
        <v>31</v>
      </c>
      <c r="M440" s="1">
        <v>65491.15</v>
      </c>
      <c r="N440">
        <v>1</v>
      </c>
      <c r="O440">
        <v>1</v>
      </c>
      <c r="P440">
        <v>91.25</v>
      </c>
      <c r="Q440">
        <v>0</v>
      </c>
      <c r="R440" s="2">
        <v>1</v>
      </c>
      <c r="S440">
        <v>0</v>
      </c>
      <c r="T440">
        <v>0</v>
      </c>
    </row>
    <row r="441" spans="1:20" x14ac:dyDescent="0.2">
      <c r="A441" t="s">
        <v>51</v>
      </c>
      <c r="B441" t="s">
        <v>21</v>
      </c>
      <c r="C441" t="s">
        <v>817</v>
      </c>
      <c r="D441" t="s">
        <v>818</v>
      </c>
      <c r="E441" t="s">
        <v>35</v>
      </c>
      <c r="F441" t="s">
        <v>25</v>
      </c>
      <c r="G441" t="s">
        <v>36</v>
      </c>
      <c r="H441" t="s">
        <v>748</v>
      </c>
      <c r="I441" t="s">
        <v>419</v>
      </c>
      <c r="J441" t="s">
        <v>29</v>
      </c>
      <c r="K441" t="s">
        <v>46</v>
      </c>
      <c r="L441" t="s">
        <v>38</v>
      </c>
      <c r="M441" s="1">
        <v>0</v>
      </c>
      <c r="N441">
        <v>0</v>
      </c>
      <c r="O441">
        <v>0</v>
      </c>
      <c r="P441">
        <v>91.25</v>
      </c>
      <c r="Q441">
        <v>0</v>
      </c>
      <c r="R441" s="2">
        <v>0</v>
      </c>
      <c r="S441">
        <v>1</v>
      </c>
      <c r="T441">
        <v>1</v>
      </c>
    </row>
    <row r="442" spans="1:20" x14ac:dyDescent="0.2">
      <c r="A442" t="s">
        <v>307</v>
      </c>
      <c r="B442" t="s">
        <v>262</v>
      </c>
      <c r="C442" t="s">
        <v>800</v>
      </c>
      <c r="D442" t="s">
        <v>801</v>
      </c>
      <c r="E442" t="s">
        <v>35</v>
      </c>
      <c r="F442" t="s">
        <v>58</v>
      </c>
      <c r="G442" t="s">
        <v>36</v>
      </c>
      <c r="H442" t="s">
        <v>748</v>
      </c>
      <c r="I442" t="s">
        <v>419</v>
      </c>
      <c r="J442" t="s">
        <v>29</v>
      </c>
      <c r="K442" t="s">
        <v>46</v>
      </c>
      <c r="L442" t="s">
        <v>31</v>
      </c>
      <c r="M442" s="1">
        <v>13716.85</v>
      </c>
      <c r="N442">
        <v>1</v>
      </c>
      <c r="O442">
        <v>1</v>
      </c>
      <c r="P442">
        <v>91.25</v>
      </c>
      <c r="Q442">
        <v>0</v>
      </c>
      <c r="R442" s="2">
        <v>1</v>
      </c>
      <c r="S442">
        <v>0</v>
      </c>
      <c r="T442">
        <v>0</v>
      </c>
    </row>
    <row r="443" spans="1:20" x14ac:dyDescent="0.2">
      <c r="A443" t="s">
        <v>324</v>
      </c>
      <c r="B443" t="s">
        <v>21</v>
      </c>
      <c r="C443" t="s">
        <v>1137</v>
      </c>
      <c r="D443" t="s">
        <v>1138</v>
      </c>
      <c r="E443" t="s">
        <v>35</v>
      </c>
      <c r="F443" t="s">
        <v>25</v>
      </c>
      <c r="G443" t="s">
        <v>36</v>
      </c>
      <c r="H443" t="s">
        <v>1071</v>
      </c>
      <c r="I443" t="s">
        <v>419</v>
      </c>
      <c r="J443" t="s">
        <v>29</v>
      </c>
      <c r="K443" t="s">
        <v>46</v>
      </c>
      <c r="L443" t="s">
        <v>38</v>
      </c>
      <c r="M443" s="1">
        <v>0</v>
      </c>
      <c r="N443">
        <v>0</v>
      </c>
      <c r="O443">
        <v>0</v>
      </c>
      <c r="P443">
        <v>91.25</v>
      </c>
      <c r="Q443">
        <v>0</v>
      </c>
      <c r="R443" s="2">
        <v>0</v>
      </c>
      <c r="S443">
        <v>1</v>
      </c>
      <c r="T443">
        <v>1</v>
      </c>
    </row>
    <row r="444" spans="1:20" x14ac:dyDescent="0.2">
      <c r="A444" t="s">
        <v>1198</v>
      </c>
      <c r="B444" t="s">
        <v>21</v>
      </c>
      <c r="C444" t="s">
        <v>1199</v>
      </c>
      <c r="D444" t="s">
        <v>1200</v>
      </c>
      <c r="E444" t="s">
        <v>35</v>
      </c>
      <c r="F444" t="s">
        <v>25</v>
      </c>
      <c r="G444" t="s">
        <v>36</v>
      </c>
      <c r="H444" t="s">
        <v>1071</v>
      </c>
      <c r="I444" t="s">
        <v>419</v>
      </c>
      <c r="J444" t="s">
        <v>29</v>
      </c>
      <c r="K444" t="s">
        <v>46</v>
      </c>
      <c r="L444" t="s">
        <v>556</v>
      </c>
      <c r="M444" s="1">
        <v>0</v>
      </c>
      <c r="N444">
        <v>0</v>
      </c>
      <c r="O444">
        <v>0</v>
      </c>
      <c r="P444">
        <v>91.25</v>
      </c>
      <c r="Q444">
        <v>1</v>
      </c>
      <c r="R444" s="2">
        <v>0</v>
      </c>
      <c r="S444">
        <v>0</v>
      </c>
      <c r="T444">
        <v>0</v>
      </c>
    </row>
    <row r="445" spans="1:20" x14ac:dyDescent="0.2">
      <c r="A445" t="s">
        <v>917</v>
      </c>
      <c r="B445" t="s">
        <v>158</v>
      </c>
      <c r="C445" t="s">
        <v>1320</v>
      </c>
      <c r="D445" t="s">
        <v>1321</v>
      </c>
      <c r="E445" t="s">
        <v>35</v>
      </c>
      <c r="F445" t="s">
        <v>25</v>
      </c>
      <c r="G445" t="s">
        <v>36</v>
      </c>
      <c r="H445" t="s">
        <v>1071</v>
      </c>
      <c r="I445" t="s">
        <v>419</v>
      </c>
      <c r="J445" t="s">
        <v>29</v>
      </c>
      <c r="K445" t="s">
        <v>46</v>
      </c>
      <c r="L445" t="s">
        <v>556</v>
      </c>
      <c r="M445" s="1">
        <v>0</v>
      </c>
      <c r="N445">
        <v>0</v>
      </c>
      <c r="O445">
        <v>0</v>
      </c>
      <c r="P445">
        <v>91.25</v>
      </c>
      <c r="Q445">
        <v>1</v>
      </c>
      <c r="R445" s="2">
        <v>0</v>
      </c>
      <c r="S445">
        <v>0</v>
      </c>
      <c r="T445">
        <v>0</v>
      </c>
    </row>
    <row r="446" spans="1:20" x14ac:dyDescent="0.2">
      <c r="A446" t="s">
        <v>51</v>
      </c>
      <c r="B446" t="s">
        <v>21</v>
      </c>
      <c r="C446" t="s">
        <v>1460</v>
      </c>
      <c r="D446" t="s">
        <v>1461</v>
      </c>
      <c r="E446" t="s">
        <v>35</v>
      </c>
      <c r="F446" t="s">
        <v>25</v>
      </c>
      <c r="G446" t="s">
        <v>36</v>
      </c>
      <c r="H446" t="s">
        <v>1410</v>
      </c>
      <c r="I446" t="s">
        <v>419</v>
      </c>
      <c r="J446" t="s">
        <v>29</v>
      </c>
      <c r="K446" t="s">
        <v>46</v>
      </c>
      <c r="L446" t="s">
        <v>556</v>
      </c>
      <c r="M446" s="1">
        <v>0</v>
      </c>
      <c r="N446">
        <v>0</v>
      </c>
      <c r="O446">
        <v>0</v>
      </c>
      <c r="P446">
        <v>91.25</v>
      </c>
      <c r="Q446">
        <v>1</v>
      </c>
      <c r="R446" s="2">
        <v>0</v>
      </c>
      <c r="S446">
        <v>0</v>
      </c>
      <c r="T446">
        <v>0</v>
      </c>
    </row>
    <row r="447" spans="1:20" x14ac:dyDescent="0.2">
      <c r="A447" t="s">
        <v>157</v>
      </c>
      <c r="B447" t="s">
        <v>158</v>
      </c>
      <c r="C447" t="s">
        <v>1548</v>
      </c>
      <c r="D447" t="s">
        <v>1549</v>
      </c>
      <c r="E447" t="s">
        <v>35</v>
      </c>
      <c r="F447" t="s">
        <v>25</v>
      </c>
      <c r="G447" t="s">
        <v>36</v>
      </c>
      <c r="H447" t="s">
        <v>1410</v>
      </c>
      <c r="I447" t="s">
        <v>419</v>
      </c>
      <c r="J447" t="s">
        <v>29</v>
      </c>
      <c r="K447" t="s">
        <v>46</v>
      </c>
      <c r="L447" t="s">
        <v>556</v>
      </c>
      <c r="M447" s="1">
        <v>0</v>
      </c>
      <c r="N447">
        <v>0</v>
      </c>
      <c r="O447">
        <v>0</v>
      </c>
      <c r="P447">
        <v>91.25</v>
      </c>
      <c r="Q447">
        <v>1</v>
      </c>
      <c r="R447" s="2">
        <v>0</v>
      </c>
      <c r="S447">
        <v>0</v>
      </c>
      <c r="T447">
        <v>0</v>
      </c>
    </row>
    <row r="448" spans="1:20" x14ac:dyDescent="0.2">
      <c r="A448" t="s">
        <v>1184</v>
      </c>
      <c r="B448" t="s">
        <v>21</v>
      </c>
      <c r="C448" t="s">
        <v>1185</v>
      </c>
      <c r="D448" t="s">
        <v>1186</v>
      </c>
      <c r="E448" t="s">
        <v>35</v>
      </c>
      <c r="F448" t="s">
        <v>25</v>
      </c>
      <c r="G448" t="s">
        <v>36</v>
      </c>
      <c r="H448" t="s">
        <v>1071</v>
      </c>
      <c r="I448" t="s">
        <v>1187</v>
      </c>
      <c r="J448" t="s">
        <v>29</v>
      </c>
      <c r="K448" t="s">
        <v>46</v>
      </c>
      <c r="L448" t="s">
        <v>31</v>
      </c>
      <c r="M448" s="1">
        <v>11405.6</v>
      </c>
      <c r="N448">
        <v>1</v>
      </c>
      <c r="O448">
        <v>1</v>
      </c>
      <c r="P448">
        <v>91.25</v>
      </c>
      <c r="Q448">
        <v>0</v>
      </c>
      <c r="R448" s="2">
        <v>1</v>
      </c>
      <c r="S448">
        <v>0</v>
      </c>
      <c r="T448">
        <v>0</v>
      </c>
    </row>
    <row r="449" spans="1:20" x14ac:dyDescent="0.2">
      <c r="A449" t="s">
        <v>32</v>
      </c>
      <c r="B449" t="s">
        <v>21</v>
      </c>
      <c r="C449" t="s">
        <v>76</v>
      </c>
      <c r="D449" t="s">
        <v>77</v>
      </c>
      <c r="E449" t="s">
        <v>35</v>
      </c>
      <c r="F449" t="s">
        <v>25</v>
      </c>
      <c r="G449" t="s">
        <v>36</v>
      </c>
      <c r="H449" t="s">
        <v>27</v>
      </c>
      <c r="I449" t="s">
        <v>78</v>
      </c>
      <c r="J449" t="s">
        <v>29</v>
      </c>
      <c r="K449" t="s">
        <v>46</v>
      </c>
      <c r="L449" t="s">
        <v>38</v>
      </c>
      <c r="M449" s="1">
        <v>0</v>
      </c>
      <c r="N449">
        <v>0</v>
      </c>
      <c r="O449">
        <v>0</v>
      </c>
      <c r="P449">
        <v>91.25</v>
      </c>
      <c r="Q449">
        <v>0</v>
      </c>
      <c r="R449" s="2">
        <v>0</v>
      </c>
      <c r="S449">
        <v>1</v>
      </c>
      <c r="T449">
        <v>1</v>
      </c>
    </row>
    <row r="450" spans="1:20" x14ac:dyDescent="0.2">
      <c r="A450" t="s">
        <v>32</v>
      </c>
      <c r="B450" t="s">
        <v>21</v>
      </c>
      <c r="C450" t="s">
        <v>33</v>
      </c>
      <c r="D450" t="s">
        <v>34</v>
      </c>
      <c r="E450" t="s">
        <v>35</v>
      </c>
      <c r="F450" t="s">
        <v>25</v>
      </c>
      <c r="G450" t="s">
        <v>36</v>
      </c>
      <c r="H450" t="s">
        <v>27</v>
      </c>
      <c r="I450" t="s">
        <v>37</v>
      </c>
      <c r="J450" t="s">
        <v>29</v>
      </c>
      <c r="K450" t="s">
        <v>30</v>
      </c>
      <c r="L450" t="s">
        <v>38</v>
      </c>
      <c r="M450" s="1">
        <v>0</v>
      </c>
      <c r="N450">
        <v>0</v>
      </c>
      <c r="O450">
        <v>0</v>
      </c>
      <c r="P450">
        <v>91.25</v>
      </c>
      <c r="Q450">
        <v>0</v>
      </c>
      <c r="R450" s="2">
        <v>0</v>
      </c>
      <c r="S450">
        <v>1</v>
      </c>
      <c r="T450">
        <v>1</v>
      </c>
    </row>
    <row r="451" spans="1:20" x14ac:dyDescent="0.2">
      <c r="A451" t="s">
        <v>67</v>
      </c>
      <c r="B451" t="s">
        <v>21</v>
      </c>
      <c r="C451" t="s">
        <v>68</v>
      </c>
      <c r="D451" t="s">
        <v>69</v>
      </c>
      <c r="E451" t="s">
        <v>35</v>
      </c>
      <c r="F451" t="s">
        <v>25</v>
      </c>
      <c r="G451" t="s">
        <v>36</v>
      </c>
      <c r="H451" t="s">
        <v>27</v>
      </c>
      <c r="I451" t="s">
        <v>37</v>
      </c>
      <c r="J451" t="s">
        <v>29</v>
      </c>
      <c r="K451" t="s">
        <v>46</v>
      </c>
      <c r="L451" t="s">
        <v>31</v>
      </c>
      <c r="M451" s="1">
        <v>672191</v>
      </c>
      <c r="N451">
        <v>1</v>
      </c>
      <c r="O451">
        <v>1</v>
      </c>
      <c r="P451">
        <v>91.25</v>
      </c>
      <c r="Q451">
        <v>0</v>
      </c>
      <c r="R451" s="2">
        <v>1</v>
      </c>
      <c r="S451">
        <v>0</v>
      </c>
      <c r="T451">
        <v>0</v>
      </c>
    </row>
    <row r="452" spans="1:20" x14ac:dyDescent="0.2">
      <c r="A452" t="s">
        <v>70</v>
      </c>
      <c r="B452" t="s">
        <v>21</v>
      </c>
      <c r="C452" t="s">
        <v>71</v>
      </c>
      <c r="D452" t="s">
        <v>72</v>
      </c>
      <c r="E452" t="s">
        <v>35</v>
      </c>
      <c r="F452" t="s">
        <v>25</v>
      </c>
      <c r="G452" t="s">
        <v>36</v>
      </c>
      <c r="H452" t="s">
        <v>27</v>
      </c>
      <c r="I452" t="s">
        <v>37</v>
      </c>
      <c r="J452" t="s">
        <v>29</v>
      </c>
      <c r="K452" t="s">
        <v>46</v>
      </c>
      <c r="L452" t="s">
        <v>31</v>
      </c>
      <c r="M452" s="1">
        <v>642635.21</v>
      </c>
      <c r="N452">
        <v>1</v>
      </c>
      <c r="O452">
        <v>1</v>
      </c>
      <c r="P452">
        <v>91.25</v>
      </c>
      <c r="Q452">
        <v>0</v>
      </c>
      <c r="R452" s="2">
        <v>1</v>
      </c>
      <c r="S452">
        <v>0</v>
      </c>
      <c r="T452">
        <v>0</v>
      </c>
    </row>
    <row r="453" spans="1:20" x14ac:dyDescent="0.2">
      <c r="A453" t="s">
        <v>713</v>
      </c>
      <c r="B453" t="s">
        <v>158</v>
      </c>
      <c r="C453" t="s">
        <v>1219</v>
      </c>
      <c r="D453" t="s">
        <v>1220</v>
      </c>
      <c r="E453" t="s">
        <v>1221</v>
      </c>
      <c r="F453" t="s">
        <v>25</v>
      </c>
      <c r="G453" t="s">
        <v>1222</v>
      </c>
      <c r="H453" t="s">
        <v>1071</v>
      </c>
      <c r="I453" t="s">
        <v>28</v>
      </c>
      <c r="J453" t="s">
        <v>29</v>
      </c>
      <c r="K453" t="s">
        <v>46</v>
      </c>
      <c r="L453" t="s">
        <v>38</v>
      </c>
      <c r="M453" s="1">
        <v>0</v>
      </c>
      <c r="N453">
        <v>0</v>
      </c>
      <c r="O453">
        <v>0</v>
      </c>
      <c r="P453">
        <v>91.25</v>
      </c>
      <c r="Q453">
        <v>0</v>
      </c>
      <c r="R453" s="2">
        <v>0</v>
      </c>
      <c r="S453">
        <v>1</v>
      </c>
      <c r="T453">
        <v>1</v>
      </c>
    </row>
    <row r="454" spans="1:20" x14ac:dyDescent="0.2">
      <c r="A454" t="s">
        <v>1237</v>
      </c>
      <c r="B454" t="s">
        <v>158</v>
      </c>
      <c r="C454" t="s">
        <v>1238</v>
      </c>
      <c r="D454" t="s">
        <v>1239</v>
      </c>
      <c r="E454" t="s">
        <v>1221</v>
      </c>
      <c r="F454" t="s">
        <v>25</v>
      </c>
      <c r="G454" t="s">
        <v>1222</v>
      </c>
      <c r="H454" t="s">
        <v>1071</v>
      </c>
      <c r="I454" t="s">
        <v>28</v>
      </c>
      <c r="J454" t="s">
        <v>29</v>
      </c>
      <c r="K454" t="s">
        <v>46</v>
      </c>
      <c r="L454" t="s">
        <v>38</v>
      </c>
      <c r="M454" s="1">
        <v>0</v>
      </c>
      <c r="N454">
        <v>0</v>
      </c>
      <c r="O454">
        <v>0</v>
      </c>
      <c r="P454">
        <v>91.25</v>
      </c>
      <c r="Q454">
        <v>0</v>
      </c>
      <c r="R454" s="2">
        <v>0</v>
      </c>
      <c r="S454">
        <v>1</v>
      </c>
      <c r="T454">
        <v>1</v>
      </c>
    </row>
    <row r="455" spans="1:20" x14ac:dyDescent="0.2">
      <c r="A455" t="s">
        <v>571</v>
      </c>
      <c r="B455" t="s">
        <v>21</v>
      </c>
      <c r="C455" t="s">
        <v>760</v>
      </c>
      <c r="D455" t="s">
        <v>761</v>
      </c>
      <c r="E455" t="s">
        <v>762</v>
      </c>
      <c r="F455" t="s">
        <v>25</v>
      </c>
      <c r="G455" t="s">
        <v>763</v>
      </c>
      <c r="H455" t="s">
        <v>748</v>
      </c>
      <c r="I455" t="s">
        <v>28</v>
      </c>
      <c r="J455" t="s">
        <v>29</v>
      </c>
      <c r="K455" t="s">
        <v>46</v>
      </c>
      <c r="L455" t="s">
        <v>38</v>
      </c>
      <c r="M455" s="1">
        <v>0</v>
      </c>
      <c r="N455">
        <v>0</v>
      </c>
      <c r="O455">
        <v>0</v>
      </c>
      <c r="P455">
        <v>91.25</v>
      </c>
      <c r="Q455">
        <v>0</v>
      </c>
      <c r="R455" s="2">
        <v>0</v>
      </c>
      <c r="S455">
        <v>1</v>
      </c>
      <c r="T455">
        <v>1</v>
      </c>
    </row>
    <row r="456" spans="1:20" x14ac:dyDescent="0.2">
      <c r="A456" t="s">
        <v>51</v>
      </c>
      <c r="B456" t="s">
        <v>21</v>
      </c>
      <c r="C456" t="s">
        <v>1076</v>
      </c>
      <c r="D456" t="s">
        <v>1077</v>
      </c>
      <c r="E456" t="s">
        <v>762</v>
      </c>
      <c r="F456" t="s">
        <v>25</v>
      </c>
      <c r="G456" t="s">
        <v>763</v>
      </c>
      <c r="H456" t="s">
        <v>1071</v>
      </c>
      <c r="I456" t="s">
        <v>28</v>
      </c>
      <c r="J456" t="s">
        <v>29</v>
      </c>
      <c r="K456" t="s">
        <v>46</v>
      </c>
      <c r="L456" t="s">
        <v>38</v>
      </c>
      <c r="M456" s="1">
        <v>0</v>
      </c>
      <c r="N456">
        <v>0</v>
      </c>
      <c r="O456">
        <v>0</v>
      </c>
      <c r="P456">
        <v>91.25</v>
      </c>
      <c r="Q456">
        <v>0</v>
      </c>
      <c r="R456" s="2">
        <v>0</v>
      </c>
      <c r="S456">
        <v>1</v>
      </c>
      <c r="T456">
        <v>1</v>
      </c>
    </row>
    <row r="457" spans="1:20" x14ac:dyDescent="0.2">
      <c r="A457" t="s">
        <v>39</v>
      </c>
      <c r="B457" t="s">
        <v>21</v>
      </c>
      <c r="C457" t="s">
        <v>1078</v>
      </c>
      <c r="D457" t="s">
        <v>1079</v>
      </c>
      <c r="E457" t="s">
        <v>762</v>
      </c>
      <c r="F457" t="s">
        <v>25</v>
      </c>
      <c r="G457" t="s">
        <v>763</v>
      </c>
      <c r="H457" t="s">
        <v>1071</v>
      </c>
      <c r="I457" t="s">
        <v>28</v>
      </c>
      <c r="J457" t="s">
        <v>29</v>
      </c>
      <c r="K457" t="s">
        <v>46</v>
      </c>
      <c r="L457" t="s">
        <v>38</v>
      </c>
      <c r="M457" s="1">
        <v>0</v>
      </c>
      <c r="N457">
        <v>0</v>
      </c>
      <c r="O457">
        <v>0</v>
      </c>
      <c r="P457">
        <v>91.25</v>
      </c>
      <c r="Q457">
        <v>0</v>
      </c>
      <c r="R457" s="2">
        <v>0</v>
      </c>
      <c r="S457">
        <v>1</v>
      </c>
      <c r="T457">
        <v>1</v>
      </c>
    </row>
    <row r="458" spans="1:20" x14ac:dyDescent="0.2">
      <c r="A458" t="s">
        <v>157</v>
      </c>
      <c r="B458" t="s">
        <v>158</v>
      </c>
      <c r="C458" t="s">
        <v>167</v>
      </c>
      <c r="D458" t="s">
        <v>168</v>
      </c>
      <c r="E458" t="s">
        <v>169</v>
      </c>
      <c r="F458" t="s">
        <v>25</v>
      </c>
      <c r="G458" t="s">
        <v>170</v>
      </c>
      <c r="H458" t="s">
        <v>27</v>
      </c>
      <c r="I458" t="s">
        <v>28</v>
      </c>
      <c r="J458" t="s">
        <v>29</v>
      </c>
      <c r="K458" t="s">
        <v>46</v>
      </c>
      <c r="L458" t="s">
        <v>38</v>
      </c>
      <c r="M458" s="1">
        <v>176266.52</v>
      </c>
      <c r="N458">
        <v>0</v>
      </c>
      <c r="O458">
        <v>1</v>
      </c>
      <c r="P458">
        <v>91.25</v>
      </c>
      <c r="Q458">
        <v>0</v>
      </c>
      <c r="R458" s="2">
        <v>1</v>
      </c>
      <c r="S458">
        <v>1</v>
      </c>
      <c r="T458">
        <v>0</v>
      </c>
    </row>
    <row r="459" spans="1:20" x14ac:dyDescent="0.2">
      <c r="A459" t="s">
        <v>175</v>
      </c>
      <c r="B459" t="s">
        <v>158</v>
      </c>
      <c r="C459" t="s">
        <v>176</v>
      </c>
      <c r="D459" t="s">
        <v>177</v>
      </c>
      <c r="E459" t="s">
        <v>178</v>
      </c>
      <c r="F459" t="s">
        <v>25</v>
      </c>
      <c r="G459" t="s">
        <v>177</v>
      </c>
      <c r="H459" t="s">
        <v>27</v>
      </c>
      <c r="I459" t="s">
        <v>28</v>
      </c>
      <c r="J459" t="s">
        <v>29</v>
      </c>
      <c r="K459" t="s">
        <v>46</v>
      </c>
      <c r="L459" t="s">
        <v>31</v>
      </c>
      <c r="M459" s="1">
        <v>0</v>
      </c>
      <c r="N459">
        <v>1</v>
      </c>
      <c r="O459">
        <v>1</v>
      </c>
      <c r="P459">
        <v>91.25</v>
      </c>
      <c r="Q459">
        <v>0</v>
      </c>
      <c r="R459" s="2">
        <v>1</v>
      </c>
      <c r="S459">
        <v>0</v>
      </c>
      <c r="T459">
        <v>0</v>
      </c>
    </row>
    <row r="460" spans="1:20" x14ac:dyDescent="0.2">
      <c r="A460" t="s">
        <v>392</v>
      </c>
      <c r="B460" t="s">
        <v>21</v>
      </c>
      <c r="C460" t="s">
        <v>393</v>
      </c>
      <c r="D460" t="s">
        <v>394</v>
      </c>
      <c r="E460" t="s">
        <v>395</v>
      </c>
      <c r="F460" t="s">
        <v>58</v>
      </c>
      <c r="G460" t="s">
        <v>396</v>
      </c>
      <c r="H460" t="s">
        <v>319</v>
      </c>
      <c r="I460" t="s">
        <v>397</v>
      </c>
      <c r="J460" t="s">
        <v>29</v>
      </c>
      <c r="K460" t="s">
        <v>46</v>
      </c>
      <c r="L460" t="s">
        <v>38</v>
      </c>
      <c r="M460" s="1">
        <v>0</v>
      </c>
      <c r="N460">
        <v>0</v>
      </c>
      <c r="O460">
        <v>0</v>
      </c>
      <c r="P460">
        <v>91.25</v>
      </c>
      <c r="Q460">
        <v>0</v>
      </c>
      <c r="R460" s="2">
        <v>0</v>
      </c>
      <c r="S460">
        <v>1</v>
      </c>
      <c r="T460">
        <v>1</v>
      </c>
    </row>
    <row r="461" spans="1:20" x14ac:dyDescent="0.2">
      <c r="A461" t="s">
        <v>222</v>
      </c>
      <c r="B461" t="s">
        <v>158</v>
      </c>
      <c r="C461" t="s">
        <v>223</v>
      </c>
      <c r="D461" t="s">
        <v>224</v>
      </c>
      <c r="E461" t="s">
        <v>225</v>
      </c>
      <c r="F461" t="s">
        <v>25</v>
      </c>
      <c r="G461" t="s">
        <v>226</v>
      </c>
      <c r="H461" t="s">
        <v>27</v>
      </c>
      <c r="I461" t="s">
        <v>28</v>
      </c>
      <c r="J461" t="s">
        <v>29</v>
      </c>
      <c r="K461" t="s">
        <v>30</v>
      </c>
      <c r="L461" t="s">
        <v>31</v>
      </c>
      <c r="M461" s="1">
        <v>1721061.99</v>
      </c>
      <c r="N461">
        <v>1</v>
      </c>
      <c r="O461">
        <v>1</v>
      </c>
      <c r="P461">
        <v>91.25</v>
      </c>
      <c r="Q461">
        <v>0</v>
      </c>
      <c r="R461" s="2">
        <v>1</v>
      </c>
      <c r="S461">
        <v>0</v>
      </c>
      <c r="T461">
        <v>0</v>
      </c>
    </row>
    <row r="462" spans="1:20" x14ac:dyDescent="0.2">
      <c r="A462" t="s">
        <v>307</v>
      </c>
      <c r="B462" t="s">
        <v>262</v>
      </c>
      <c r="C462" t="s">
        <v>1003</v>
      </c>
      <c r="D462" t="s">
        <v>1004</v>
      </c>
      <c r="E462" t="s">
        <v>225</v>
      </c>
      <c r="F462" t="s">
        <v>25</v>
      </c>
      <c r="G462" t="s">
        <v>226</v>
      </c>
      <c r="H462" t="s">
        <v>748</v>
      </c>
      <c r="I462" t="s">
        <v>28</v>
      </c>
      <c r="J462" t="s">
        <v>29</v>
      </c>
      <c r="K462" t="s">
        <v>46</v>
      </c>
      <c r="L462" t="s">
        <v>38</v>
      </c>
      <c r="M462" s="1">
        <v>0</v>
      </c>
      <c r="N462">
        <v>0</v>
      </c>
      <c r="O462">
        <v>0</v>
      </c>
      <c r="P462">
        <v>91.25</v>
      </c>
      <c r="Q462">
        <v>0</v>
      </c>
      <c r="R462" s="2">
        <v>0</v>
      </c>
      <c r="S462">
        <v>1</v>
      </c>
      <c r="T462">
        <v>1</v>
      </c>
    </row>
    <row r="463" spans="1:20" x14ac:dyDescent="0.2">
      <c r="A463" t="s">
        <v>1031</v>
      </c>
      <c r="B463" t="s">
        <v>262</v>
      </c>
      <c r="C463" t="s">
        <v>1359</v>
      </c>
      <c r="D463" t="s">
        <v>1360</v>
      </c>
      <c r="E463" t="s">
        <v>225</v>
      </c>
      <c r="F463" t="s">
        <v>25</v>
      </c>
      <c r="G463" t="s">
        <v>226</v>
      </c>
      <c r="H463" t="s">
        <v>1071</v>
      </c>
      <c r="I463" t="s">
        <v>28</v>
      </c>
      <c r="J463" t="s">
        <v>29</v>
      </c>
      <c r="K463" t="s">
        <v>46</v>
      </c>
      <c r="L463" t="s">
        <v>38</v>
      </c>
      <c r="M463" s="1">
        <v>0</v>
      </c>
      <c r="N463">
        <v>0</v>
      </c>
      <c r="O463">
        <v>0</v>
      </c>
      <c r="P463">
        <v>91.25</v>
      </c>
      <c r="Q463">
        <v>0</v>
      </c>
      <c r="R463" s="2">
        <v>0</v>
      </c>
      <c r="S463">
        <v>1</v>
      </c>
      <c r="T463">
        <v>1</v>
      </c>
    </row>
    <row r="464" spans="1:20" x14ac:dyDescent="0.2">
      <c r="A464" t="s">
        <v>307</v>
      </c>
      <c r="B464" t="s">
        <v>262</v>
      </c>
      <c r="C464" t="s">
        <v>1361</v>
      </c>
      <c r="D464" t="s">
        <v>1362</v>
      </c>
      <c r="E464" t="s">
        <v>225</v>
      </c>
      <c r="F464" t="s">
        <v>25</v>
      </c>
      <c r="G464" t="s">
        <v>226</v>
      </c>
      <c r="H464" t="s">
        <v>1071</v>
      </c>
      <c r="I464" t="s">
        <v>28</v>
      </c>
      <c r="J464" t="s">
        <v>29</v>
      </c>
      <c r="K464" t="s">
        <v>46</v>
      </c>
      <c r="L464" t="s">
        <v>38</v>
      </c>
      <c r="M464" s="1">
        <v>0</v>
      </c>
      <c r="N464">
        <v>0</v>
      </c>
      <c r="O464">
        <v>0</v>
      </c>
      <c r="P464">
        <v>91.25</v>
      </c>
      <c r="Q464">
        <v>0</v>
      </c>
      <c r="R464" s="2">
        <v>0</v>
      </c>
      <c r="S464">
        <v>1</v>
      </c>
      <c r="T464">
        <v>1</v>
      </c>
    </row>
    <row r="465" spans="1:20" x14ac:dyDescent="0.2">
      <c r="A465" t="s">
        <v>741</v>
      </c>
      <c r="B465" t="s">
        <v>262</v>
      </c>
      <c r="C465" t="s">
        <v>1365</v>
      </c>
      <c r="D465" t="s">
        <v>1366</v>
      </c>
      <c r="E465" t="s">
        <v>225</v>
      </c>
      <c r="F465" t="s">
        <v>25</v>
      </c>
      <c r="G465" t="s">
        <v>226</v>
      </c>
      <c r="H465" t="s">
        <v>1071</v>
      </c>
      <c r="I465" t="s">
        <v>28</v>
      </c>
      <c r="J465" t="s">
        <v>29</v>
      </c>
      <c r="K465" t="s">
        <v>46</v>
      </c>
      <c r="L465" t="s">
        <v>556</v>
      </c>
      <c r="M465" s="1">
        <v>0</v>
      </c>
      <c r="N465">
        <v>0</v>
      </c>
      <c r="O465">
        <v>0</v>
      </c>
      <c r="P465">
        <v>91.25</v>
      </c>
      <c r="Q465">
        <v>0</v>
      </c>
      <c r="R465" s="2">
        <v>0</v>
      </c>
      <c r="S465">
        <v>0</v>
      </c>
      <c r="T465">
        <v>1</v>
      </c>
    </row>
    <row r="466" spans="1:20" x14ac:dyDescent="0.2">
      <c r="A466" t="s">
        <v>39</v>
      </c>
      <c r="B466" t="s">
        <v>21</v>
      </c>
      <c r="C466" t="s">
        <v>623</v>
      </c>
      <c r="D466" t="s">
        <v>624</v>
      </c>
      <c r="E466" t="s">
        <v>625</v>
      </c>
      <c r="F466" t="s">
        <v>25</v>
      </c>
      <c r="G466" t="s">
        <v>626</v>
      </c>
      <c r="H466" t="s">
        <v>550</v>
      </c>
      <c r="I466" t="s">
        <v>28</v>
      </c>
      <c r="J466" t="s">
        <v>29</v>
      </c>
      <c r="K466" t="s">
        <v>46</v>
      </c>
      <c r="L466" t="s">
        <v>38</v>
      </c>
      <c r="M466" s="1">
        <v>0</v>
      </c>
      <c r="N466">
        <v>0</v>
      </c>
      <c r="O466">
        <v>0</v>
      </c>
      <c r="P466">
        <v>91.25</v>
      </c>
      <c r="Q466">
        <v>0</v>
      </c>
      <c r="R466" s="2">
        <v>0</v>
      </c>
      <c r="S466">
        <v>1</v>
      </c>
      <c r="T466">
        <v>1</v>
      </c>
    </row>
    <row r="467" spans="1:20" x14ac:dyDescent="0.2">
      <c r="A467" t="s">
        <v>1163</v>
      </c>
      <c r="B467" t="s">
        <v>21</v>
      </c>
      <c r="C467" t="s">
        <v>1164</v>
      </c>
      <c r="D467" t="s">
        <v>1165</v>
      </c>
      <c r="E467" t="s">
        <v>1166</v>
      </c>
      <c r="F467" t="s">
        <v>25</v>
      </c>
      <c r="G467" t="s">
        <v>1167</v>
      </c>
      <c r="H467" t="s">
        <v>1071</v>
      </c>
      <c r="I467" t="s">
        <v>28</v>
      </c>
      <c r="J467" t="s">
        <v>29</v>
      </c>
      <c r="K467" t="s">
        <v>46</v>
      </c>
      <c r="L467" t="s">
        <v>556</v>
      </c>
      <c r="M467" s="1">
        <v>0</v>
      </c>
      <c r="N467">
        <v>0</v>
      </c>
      <c r="O467">
        <v>0</v>
      </c>
      <c r="P467">
        <v>91.25</v>
      </c>
      <c r="Q467">
        <v>0</v>
      </c>
      <c r="R467" s="2">
        <v>0</v>
      </c>
      <c r="S467">
        <v>0</v>
      </c>
      <c r="T467">
        <v>1</v>
      </c>
    </row>
    <row r="468" spans="1:20" x14ac:dyDescent="0.2">
      <c r="A468" t="s">
        <v>237</v>
      </c>
      <c r="B468" t="s">
        <v>158</v>
      </c>
      <c r="C468" t="s">
        <v>904</v>
      </c>
      <c r="D468" t="s">
        <v>905</v>
      </c>
      <c r="E468" t="s">
        <v>906</v>
      </c>
      <c r="F468" t="s">
        <v>25</v>
      </c>
      <c r="G468" t="s">
        <v>907</v>
      </c>
      <c r="H468" t="s">
        <v>748</v>
      </c>
      <c r="I468" t="s">
        <v>28</v>
      </c>
      <c r="J468" t="s">
        <v>29</v>
      </c>
      <c r="K468" t="s">
        <v>46</v>
      </c>
      <c r="L468" t="s">
        <v>38</v>
      </c>
      <c r="M468" s="1">
        <v>0</v>
      </c>
      <c r="N468">
        <v>0</v>
      </c>
      <c r="O468">
        <v>0</v>
      </c>
      <c r="P468">
        <v>91.25</v>
      </c>
      <c r="Q468">
        <v>0</v>
      </c>
      <c r="R468" s="2">
        <v>0</v>
      </c>
      <c r="S468">
        <v>1</v>
      </c>
      <c r="T468">
        <v>1</v>
      </c>
    </row>
    <row r="469" spans="1:20" x14ac:dyDescent="0.2">
      <c r="A469" t="s">
        <v>687</v>
      </c>
      <c r="B469" t="s">
        <v>250</v>
      </c>
      <c r="C469" t="s">
        <v>1342</v>
      </c>
      <c r="D469" t="s">
        <v>1343</v>
      </c>
      <c r="E469" t="s">
        <v>1344</v>
      </c>
      <c r="F469" t="s">
        <v>25</v>
      </c>
      <c r="G469" t="s">
        <v>1345</v>
      </c>
      <c r="H469" t="s">
        <v>1071</v>
      </c>
      <c r="I469" t="s">
        <v>28</v>
      </c>
      <c r="J469" t="s">
        <v>29</v>
      </c>
      <c r="K469" t="s">
        <v>46</v>
      </c>
      <c r="L469" t="s">
        <v>31</v>
      </c>
      <c r="M469" s="1">
        <v>0</v>
      </c>
      <c r="N469">
        <v>0</v>
      </c>
      <c r="O469">
        <v>0</v>
      </c>
      <c r="P469">
        <v>91.25</v>
      </c>
      <c r="Q469">
        <v>0</v>
      </c>
      <c r="R469" s="2">
        <v>0</v>
      </c>
      <c r="S469">
        <v>0</v>
      </c>
      <c r="T469">
        <v>1</v>
      </c>
    </row>
    <row r="470" spans="1:20" x14ac:dyDescent="0.2">
      <c r="A470" t="s">
        <v>157</v>
      </c>
      <c r="B470" t="s">
        <v>158</v>
      </c>
      <c r="C470" t="s">
        <v>478</v>
      </c>
      <c r="D470" t="s">
        <v>479</v>
      </c>
      <c r="E470" t="s">
        <v>480</v>
      </c>
      <c r="F470" t="s">
        <v>25</v>
      </c>
      <c r="G470" t="s">
        <v>481</v>
      </c>
      <c r="H470" t="s">
        <v>319</v>
      </c>
      <c r="I470" t="s">
        <v>482</v>
      </c>
      <c r="J470" t="s">
        <v>29</v>
      </c>
      <c r="K470" t="s">
        <v>46</v>
      </c>
      <c r="L470" t="s">
        <v>38</v>
      </c>
      <c r="M470" s="1">
        <v>0</v>
      </c>
      <c r="N470">
        <v>0</v>
      </c>
      <c r="O470">
        <v>0</v>
      </c>
      <c r="P470">
        <v>91.25</v>
      </c>
      <c r="Q470">
        <v>0</v>
      </c>
      <c r="R470" s="2">
        <v>0</v>
      </c>
      <c r="S470">
        <v>1</v>
      </c>
      <c r="T470">
        <v>1</v>
      </c>
    </row>
    <row r="471" spans="1:20" x14ac:dyDescent="0.2">
      <c r="A471" t="s">
        <v>1466</v>
      </c>
      <c r="B471" t="s">
        <v>21</v>
      </c>
      <c r="C471" t="s">
        <v>1467</v>
      </c>
      <c r="D471" t="s">
        <v>1468</v>
      </c>
      <c r="E471" t="s">
        <v>1469</v>
      </c>
      <c r="F471" t="s">
        <v>25</v>
      </c>
      <c r="G471" t="s">
        <v>1470</v>
      </c>
      <c r="H471" t="s">
        <v>1410</v>
      </c>
      <c r="I471" t="s">
        <v>28</v>
      </c>
      <c r="J471" t="s">
        <v>29</v>
      </c>
      <c r="K471" t="s">
        <v>46</v>
      </c>
      <c r="L471" t="s">
        <v>556</v>
      </c>
      <c r="M471" s="1">
        <v>0</v>
      </c>
      <c r="N471">
        <v>0</v>
      </c>
      <c r="O471">
        <v>0</v>
      </c>
      <c r="P471">
        <v>91.25</v>
      </c>
      <c r="Q471">
        <v>1</v>
      </c>
      <c r="R471" s="2">
        <v>0</v>
      </c>
      <c r="S471">
        <v>0</v>
      </c>
      <c r="T471">
        <v>0</v>
      </c>
    </row>
    <row r="472" spans="1:20" x14ac:dyDescent="0.2">
      <c r="A472" t="s">
        <v>1471</v>
      </c>
      <c r="B472" t="s">
        <v>21</v>
      </c>
      <c r="C472" t="s">
        <v>1472</v>
      </c>
      <c r="D472" t="s">
        <v>1473</v>
      </c>
      <c r="E472" t="s">
        <v>410</v>
      </c>
      <c r="F472" t="s">
        <v>25</v>
      </c>
      <c r="G472" t="s">
        <v>411</v>
      </c>
      <c r="H472" t="s">
        <v>1410</v>
      </c>
      <c r="I472" t="s">
        <v>1474</v>
      </c>
      <c r="J472" t="s">
        <v>45</v>
      </c>
      <c r="K472" t="s">
        <v>46</v>
      </c>
      <c r="L472" t="s">
        <v>556</v>
      </c>
      <c r="M472" s="1">
        <v>0</v>
      </c>
      <c r="N472">
        <v>0</v>
      </c>
      <c r="O472">
        <v>0</v>
      </c>
      <c r="P472">
        <v>91.25</v>
      </c>
      <c r="Q472">
        <v>1</v>
      </c>
      <c r="R472" s="2">
        <v>0</v>
      </c>
      <c r="S472">
        <v>0</v>
      </c>
      <c r="T472">
        <v>0</v>
      </c>
    </row>
    <row r="473" spans="1:20" x14ac:dyDescent="0.2">
      <c r="A473" t="s">
        <v>51</v>
      </c>
      <c r="B473" t="s">
        <v>21</v>
      </c>
      <c r="C473" t="s">
        <v>569</v>
      </c>
      <c r="D473" t="s">
        <v>570</v>
      </c>
      <c r="E473" t="s">
        <v>410</v>
      </c>
      <c r="F473" t="s">
        <v>25</v>
      </c>
      <c r="G473" t="s">
        <v>411</v>
      </c>
      <c r="H473" t="s">
        <v>550</v>
      </c>
      <c r="I473" t="s">
        <v>485</v>
      </c>
      <c r="J473" t="s">
        <v>29</v>
      </c>
      <c r="K473" t="s">
        <v>46</v>
      </c>
      <c r="L473" t="s">
        <v>38</v>
      </c>
      <c r="M473" s="1">
        <v>0</v>
      </c>
      <c r="N473">
        <v>0</v>
      </c>
      <c r="O473">
        <v>0</v>
      </c>
      <c r="P473">
        <v>91.25</v>
      </c>
      <c r="Q473">
        <v>0</v>
      </c>
      <c r="R473" s="2">
        <v>0</v>
      </c>
      <c r="S473">
        <v>1</v>
      </c>
      <c r="T473">
        <v>1</v>
      </c>
    </row>
    <row r="474" spans="1:20" x14ac:dyDescent="0.2">
      <c r="A474" t="s">
        <v>635</v>
      </c>
      <c r="B474" t="s">
        <v>158</v>
      </c>
      <c r="C474" t="s">
        <v>636</v>
      </c>
      <c r="D474" t="s">
        <v>637</v>
      </c>
      <c r="E474" t="s">
        <v>410</v>
      </c>
      <c r="F474" t="s">
        <v>25</v>
      </c>
      <c r="G474" t="s">
        <v>411</v>
      </c>
      <c r="H474" t="s">
        <v>550</v>
      </c>
      <c r="I474" t="s">
        <v>485</v>
      </c>
      <c r="J474" t="s">
        <v>29</v>
      </c>
      <c r="K474" t="s">
        <v>46</v>
      </c>
      <c r="L474" t="s">
        <v>31</v>
      </c>
      <c r="M474" s="1">
        <v>11923</v>
      </c>
      <c r="N474">
        <v>1</v>
      </c>
      <c r="O474">
        <v>1</v>
      </c>
      <c r="P474">
        <v>91.25</v>
      </c>
      <c r="Q474">
        <v>0</v>
      </c>
      <c r="R474" s="2">
        <v>1</v>
      </c>
      <c r="S474">
        <v>0</v>
      </c>
      <c r="T474">
        <v>0</v>
      </c>
    </row>
    <row r="475" spans="1:20" x14ac:dyDescent="0.2">
      <c r="A475" t="s">
        <v>443</v>
      </c>
      <c r="B475" t="s">
        <v>158</v>
      </c>
      <c r="C475" t="s">
        <v>644</v>
      </c>
      <c r="D475" t="s">
        <v>645</v>
      </c>
      <c r="E475" t="s">
        <v>410</v>
      </c>
      <c r="F475" t="s">
        <v>25</v>
      </c>
      <c r="G475" t="s">
        <v>411</v>
      </c>
      <c r="H475" t="s">
        <v>550</v>
      </c>
      <c r="I475" t="s">
        <v>485</v>
      </c>
      <c r="J475" t="s">
        <v>29</v>
      </c>
      <c r="K475" t="s">
        <v>46</v>
      </c>
      <c r="L475" t="s">
        <v>38</v>
      </c>
      <c r="M475" s="1">
        <v>0</v>
      </c>
      <c r="N475">
        <v>0</v>
      </c>
      <c r="O475">
        <v>0</v>
      </c>
      <c r="P475">
        <v>91.25</v>
      </c>
      <c r="Q475">
        <v>0</v>
      </c>
      <c r="R475" s="2">
        <v>0</v>
      </c>
      <c r="S475">
        <v>1</v>
      </c>
      <c r="T475">
        <v>1</v>
      </c>
    </row>
    <row r="476" spans="1:20" x14ac:dyDescent="0.2">
      <c r="A476" t="s">
        <v>814</v>
      </c>
      <c r="B476" t="s">
        <v>21</v>
      </c>
      <c r="C476" t="s">
        <v>815</v>
      </c>
      <c r="D476" t="s">
        <v>816</v>
      </c>
      <c r="E476" t="s">
        <v>410</v>
      </c>
      <c r="F476" t="s">
        <v>25</v>
      </c>
      <c r="G476" t="s">
        <v>411</v>
      </c>
      <c r="H476" t="s">
        <v>748</v>
      </c>
      <c r="I476" t="s">
        <v>485</v>
      </c>
      <c r="J476" t="s">
        <v>29</v>
      </c>
      <c r="K476" t="s">
        <v>46</v>
      </c>
      <c r="L476" t="s">
        <v>38</v>
      </c>
      <c r="M476" s="1">
        <v>0</v>
      </c>
      <c r="N476">
        <v>0</v>
      </c>
      <c r="O476">
        <v>0</v>
      </c>
      <c r="P476">
        <v>91.25</v>
      </c>
      <c r="Q476">
        <v>0</v>
      </c>
      <c r="R476" s="2">
        <v>0</v>
      </c>
      <c r="S476">
        <v>1</v>
      </c>
      <c r="T476">
        <v>1</v>
      </c>
    </row>
    <row r="477" spans="1:20" x14ac:dyDescent="0.2">
      <c r="A477" t="s">
        <v>443</v>
      </c>
      <c r="B477" t="s">
        <v>158</v>
      </c>
      <c r="C477" t="s">
        <v>868</v>
      </c>
      <c r="D477" t="s">
        <v>869</v>
      </c>
      <c r="E477" t="s">
        <v>410</v>
      </c>
      <c r="F477" t="s">
        <v>25</v>
      </c>
      <c r="G477" t="s">
        <v>411</v>
      </c>
      <c r="H477" t="s">
        <v>748</v>
      </c>
      <c r="I477" t="s">
        <v>485</v>
      </c>
      <c r="J477" t="s">
        <v>29</v>
      </c>
      <c r="K477" t="s">
        <v>46</v>
      </c>
      <c r="L477" t="s">
        <v>38</v>
      </c>
      <c r="M477" s="1">
        <v>0</v>
      </c>
      <c r="N477">
        <v>0</v>
      </c>
      <c r="O477">
        <v>0</v>
      </c>
      <c r="P477">
        <v>91.25</v>
      </c>
      <c r="Q477">
        <v>0</v>
      </c>
      <c r="R477" s="2">
        <v>0</v>
      </c>
      <c r="S477">
        <v>1</v>
      </c>
      <c r="T477">
        <v>1</v>
      </c>
    </row>
    <row r="478" spans="1:20" x14ac:dyDescent="0.2">
      <c r="A478" t="s">
        <v>345</v>
      </c>
      <c r="B478" t="s">
        <v>21</v>
      </c>
      <c r="C478" t="s">
        <v>1196</v>
      </c>
      <c r="D478" t="s">
        <v>1197</v>
      </c>
      <c r="E478" t="s">
        <v>410</v>
      </c>
      <c r="F478" t="s">
        <v>25</v>
      </c>
      <c r="G478" t="s">
        <v>411</v>
      </c>
      <c r="H478" t="s">
        <v>1071</v>
      </c>
      <c r="I478" t="s">
        <v>485</v>
      </c>
      <c r="J478" t="s">
        <v>29</v>
      </c>
      <c r="K478" t="s">
        <v>46</v>
      </c>
      <c r="L478" t="s">
        <v>556</v>
      </c>
      <c r="M478" s="1">
        <v>0</v>
      </c>
      <c r="N478">
        <v>0</v>
      </c>
      <c r="O478">
        <v>0</v>
      </c>
      <c r="P478">
        <v>91.25</v>
      </c>
      <c r="Q478">
        <v>1</v>
      </c>
      <c r="R478" s="2">
        <v>0</v>
      </c>
      <c r="S478">
        <v>0</v>
      </c>
      <c r="T478">
        <v>0</v>
      </c>
    </row>
    <row r="479" spans="1:20" x14ac:dyDescent="0.2">
      <c r="A479" t="s">
        <v>443</v>
      </c>
      <c r="B479" t="s">
        <v>158</v>
      </c>
      <c r="C479" t="s">
        <v>1243</v>
      </c>
      <c r="D479" t="s">
        <v>1244</v>
      </c>
      <c r="E479" t="s">
        <v>410</v>
      </c>
      <c r="F479" t="s">
        <v>25</v>
      </c>
      <c r="G479" t="s">
        <v>411</v>
      </c>
      <c r="H479" t="s">
        <v>1071</v>
      </c>
      <c r="I479" t="s">
        <v>485</v>
      </c>
      <c r="J479" t="s">
        <v>29</v>
      </c>
      <c r="K479" t="s">
        <v>46</v>
      </c>
      <c r="L479" t="s">
        <v>31</v>
      </c>
      <c r="M479" s="1">
        <v>30000</v>
      </c>
      <c r="N479">
        <v>1</v>
      </c>
      <c r="O479">
        <v>1</v>
      </c>
      <c r="P479">
        <v>91.25</v>
      </c>
      <c r="Q479">
        <v>0</v>
      </c>
      <c r="R479" s="2">
        <v>1</v>
      </c>
      <c r="S479">
        <v>0</v>
      </c>
      <c r="T479">
        <v>0</v>
      </c>
    </row>
    <row r="480" spans="1:20" x14ac:dyDescent="0.2">
      <c r="A480" t="s">
        <v>443</v>
      </c>
      <c r="B480" t="s">
        <v>158</v>
      </c>
      <c r="C480" t="s">
        <v>1296</v>
      </c>
      <c r="D480" t="s">
        <v>1297</v>
      </c>
      <c r="E480" t="s">
        <v>410</v>
      </c>
      <c r="F480" t="s">
        <v>25</v>
      </c>
      <c r="G480" t="s">
        <v>411</v>
      </c>
      <c r="H480" t="s">
        <v>1071</v>
      </c>
      <c r="I480" t="s">
        <v>1298</v>
      </c>
      <c r="J480" t="s">
        <v>29</v>
      </c>
      <c r="K480" t="s">
        <v>46</v>
      </c>
      <c r="L480" t="s">
        <v>556</v>
      </c>
      <c r="M480" s="1">
        <v>0</v>
      </c>
      <c r="N480">
        <v>0</v>
      </c>
      <c r="O480">
        <v>0</v>
      </c>
      <c r="P480">
        <v>91.25</v>
      </c>
      <c r="Q480">
        <v>1</v>
      </c>
      <c r="R480" s="2">
        <v>0</v>
      </c>
      <c r="S480">
        <v>0</v>
      </c>
      <c r="T480">
        <v>0</v>
      </c>
    </row>
    <row r="481" spans="1:20" x14ac:dyDescent="0.2">
      <c r="A481" t="s">
        <v>607</v>
      </c>
      <c r="B481" t="s">
        <v>21</v>
      </c>
      <c r="C481" t="s">
        <v>608</v>
      </c>
      <c r="D481" t="s">
        <v>609</v>
      </c>
      <c r="E481" t="s">
        <v>410</v>
      </c>
      <c r="F481" t="s">
        <v>25</v>
      </c>
      <c r="G481" t="s">
        <v>411</v>
      </c>
      <c r="H481" t="s">
        <v>550</v>
      </c>
      <c r="I481" t="s">
        <v>610</v>
      </c>
      <c r="J481" t="s">
        <v>45</v>
      </c>
      <c r="K481" t="s">
        <v>46</v>
      </c>
      <c r="L481" t="s">
        <v>38</v>
      </c>
      <c r="M481" s="1">
        <v>0</v>
      </c>
      <c r="N481">
        <v>0</v>
      </c>
      <c r="O481">
        <v>0</v>
      </c>
      <c r="P481">
        <v>91.25</v>
      </c>
      <c r="Q481">
        <v>0</v>
      </c>
      <c r="R481" s="2">
        <v>0</v>
      </c>
      <c r="S481">
        <v>1</v>
      </c>
      <c r="T481">
        <v>1</v>
      </c>
    </row>
    <row r="482" spans="1:20" x14ac:dyDescent="0.2">
      <c r="A482" t="s">
        <v>806</v>
      </c>
      <c r="B482" t="s">
        <v>21</v>
      </c>
      <c r="C482" t="s">
        <v>807</v>
      </c>
      <c r="D482" t="s">
        <v>808</v>
      </c>
      <c r="E482" t="s">
        <v>410</v>
      </c>
      <c r="F482" t="s">
        <v>25</v>
      </c>
      <c r="G482" t="s">
        <v>411</v>
      </c>
      <c r="H482" t="s">
        <v>748</v>
      </c>
      <c r="I482" t="s">
        <v>610</v>
      </c>
      <c r="J482" t="s">
        <v>45</v>
      </c>
      <c r="K482" t="s">
        <v>46</v>
      </c>
      <c r="L482" t="s">
        <v>38</v>
      </c>
      <c r="M482" s="1">
        <v>0</v>
      </c>
      <c r="N482">
        <v>0</v>
      </c>
      <c r="O482">
        <v>0</v>
      </c>
      <c r="P482">
        <v>91.25</v>
      </c>
      <c r="Q482">
        <v>0</v>
      </c>
      <c r="R482" s="2">
        <v>0</v>
      </c>
      <c r="S482">
        <v>1</v>
      </c>
      <c r="T482">
        <v>1</v>
      </c>
    </row>
    <row r="483" spans="1:20" x14ac:dyDescent="0.2">
      <c r="A483" t="s">
        <v>1153</v>
      </c>
      <c r="B483" t="s">
        <v>21</v>
      </c>
      <c r="C483" t="s">
        <v>1154</v>
      </c>
      <c r="D483" t="s">
        <v>1155</v>
      </c>
      <c r="E483" t="s">
        <v>410</v>
      </c>
      <c r="F483" t="s">
        <v>25</v>
      </c>
      <c r="G483" t="s">
        <v>411</v>
      </c>
      <c r="H483" t="s">
        <v>1071</v>
      </c>
      <c r="I483" t="s">
        <v>610</v>
      </c>
      <c r="J483" t="s">
        <v>45</v>
      </c>
      <c r="K483" t="s">
        <v>46</v>
      </c>
      <c r="L483" t="s">
        <v>556</v>
      </c>
      <c r="M483" s="1">
        <v>0</v>
      </c>
      <c r="N483">
        <v>0</v>
      </c>
      <c r="O483">
        <v>0</v>
      </c>
      <c r="P483">
        <v>91.25</v>
      </c>
      <c r="Q483">
        <v>1</v>
      </c>
      <c r="R483" s="2">
        <v>0</v>
      </c>
      <c r="S483">
        <v>0</v>
      </c>
      <c r="T483">
        <v>0</v>
      </c>
    </row>
    <row r="484" spans="1:20" x14ac:dyDescent="0.2">
      <c r="A484" t="s">
        <v>1168</v>
      </c>
      <c r="B484" t="s">
        <v>21</v>
      </c>
      <c r="C484" t="s">
        <v>1169</v>
      </c>
      <c r="D484" t="s">
        <v>1170</v>
      </c>
      <c r="E484" t="s">
        <v>410</v>
      </c>
      <c r="F484" t="s">
        <v>25</v>
      </c>
      <c r="G484" t="s">
        <v>411</v>
      </c>
      <c r="H484" t="s">
        <v>1071</v>
      </c>
      <c r="I484" t="s">
        <v>610</v>
      </c>
      <c r="J484" t="s">
        <v>45</v>
      </c>
      <c r="K484" t="s">
        <v>46</v>
      </c>
      <c r="L484" t="s">
        <v>556</v>
      </c>
      <c r="M484" s="1">
        <v>0</v>
      </c>
      <c r="N484">
        <v>0</v>
      </c>
      <c r="O484">
        <v>0</v>
      </c>
      <c r="P484">
        <v>91.25</v>
      </c>
      <c r="Q484">
        <v>1</v>
      </c>
      <c r="R484" s="2">
        <v>0</v>
      </c>
      <c r="S484">
        <v>0</v>
      </c>
      <c r="T484">
        <v>0</v>
      </c>
    </row>
    <row r="485" spans="1:20" x14ac:dyDescent="0.2">
      <c r="A485" t="s">
        <v>1174</v>
      </c>
      <c r="B485" t="s">
        <v>21</v>
      </c>
      <c r="C485" t="s">
        <v>1175</v>
      </c>
      <c r="D485" t="s">
        <v>1176</v>
      </c>
      <c r="E485" t="s">
        <v>410</v>
      </c>
      <c r="F485" t="s">
        <v>25</v>
      </c>
      <c r="G485" t="s">
        <v>411</v>
      </c>
      <c r="H485" t="s">
        <v>1071</v>
      </c>
      <c r="I485" t="s">
        <v>610</v>
      </c>
      <c r="J485" t="s">
        <v>45</v>
      </c>
      <c r="K485" t="s">
        <v>46</v>
      </c>
      <c r="L485" t="s">
        <v>556</v>
      </c>
      <c r="M485" s="1">
        <v>0</v>
      </c>
      <c r="N485">
        <v>0</v>
      </c>
      <c r="O485">
        <v>0</v>
      </c>
      <c r="P485">
        <v>91.25</v>
      </c>
      <c r="Q485">
        <v>1</v>
      </c>
      <c r="R485" s="2">
        <v>0</v>
      </c>
      <c r="S485">
        <v>0</v>
      </c>
      <c r="T485">
        <v>0</v>
      </c>
    </row>
    <row r="486" spans="1:20" x14ac:dyDescent="0.2">
      <c r="A486" t="s">
        <v>1290</v>
      </c>
      <c r="B486" t="s">
        <v>158</v>
      </c>
      <c r="C486" t="s">
        <v>1291</v>
      </c>
      <c r="D486" t="s">
        <v>1292</v>
      </c>
      <c r="E486" t="s">
        <v>410</v>
      </c>
      <c r="F486" t="s">
        <v>25</v>
      </c>
      <c r="G486" t="s">
        <v>411</v>
      </c>
      <c r="H486" t="s">
        <v>1071</v>
      </c>
      <c r="I486" t="s">
        <v>610</v>
      </c>
      <c r="J486" t="s">
        <v>45</v>
      </c>
      <c r="K486" t="s">
        <v>46</v>
      </c>
      <c r="L486" t="s">
        <v>556</v>
      </c>
      <c r="M486" s="1">
        <v>0</v>
      </c>
      <c r="N486">
        <v>0</v>
      </c>
      <c r="O486">
        <v>0</v>
      </c>
      <c r="P486">
        <v>91.25</v>
      </c>
      <c r="Q486">
        <v>1</v>
      </c>
      <c r="R486" s="2">
        <v>0</v>
      </c>
      <c r="S486">
        <v>0</v>
      </c>
      <c r="T486">
        <v>0</v>
      </c>
    </row>
    <row r="487" spans="1:20" x14ac:dyDescent="0.2">
      <c r="A487" t="s">
        <v>705</v>
      </c>
      <c r="B487" t="s">
        <v>262</v>
      </c>
      <c r="C487" t="s">
        <v>1566</v>
      </c>
      <c r="D487" t="s">
        <v>1567</v>
      </c>
      <c r="E487" t="s">
        <v>410</v>
      </c>
      <c r="F487" t="s">
        <v>25</v>
      </c>
      <c r="G487" t="s">
        <v>411</v>
      </c>
      <c r="H487" t="s">
        <v>1410</v>
      </c>
      <c r="I487" t="s">
        <v>1568</v>
      </c>
      <c r="J487" t="s">
        <v>45</v>
      </c>
      <c r="K487" t="s">
        <v>46</v>
      </c>
      <c r="L487" t="s">
        <v>556</v>
      </c>
      <c r="M487" s="1">
        <v>0</v>
      </c>
      <c r="N487">
        <v>0</v>
      </c>
      <c r="O487">
        <v>0</v>
      </c>
      <c r="P487">
        <v>91.25</v>
      </c>
      <c r="Q487">
        <v>1</v>
      </c>
      <c r="R487" s="2">
        <v>0</v>
      </c>
      <c r="S487">
        <v>0</v>
      </c>
      <c r="T487">
        <v>0</v>
      </c>
    </row>
    <row r="488" spans="1:20" x14ac:dyDescent="0.2">
      <c r="A488" t="s">
        <v>1034</v>
      </c>
      <c r="B488" t="s">
        <v>262</v>
      </c>
      <c r="C488" t="s">
        <v>1035</v>
      </c>
      <c r="D488" t="s">
        <v>1036</v>
      </c>
      <c r="E488" t="s">
        <v>410</v>
      </c>
      <c r="F488" t="s">
        <v>25</v>
      </c>
      <c r="G488" t="s">
        <v>411</v>
      </c>
      <c r="H488" t="s">
        <v>748</v>
      </c>
      <c r="I488" t="s">
        <v>1037</v>
      </c>
      <c r="J488" t="s">
        <v>45</v>
      </c>
      <c r="K488" t="s">
        <v>46</v>
      </c>
      <c r="L488" t="s">
        <v>38</v>
      </c>
      <c r="M488" s="1">
        <v>0</v>
      </c>
      <c r="N488">
        <v>0</v>
      </c>
      <c r="O488">
        <v>0</v>
      </c>
      <c r="P488">
        <v>91.25</v>
      </c>
      <c r="Q488">
        <v>0</v>
      </c>
      <c r="R488" s="2">
        <v>0</v>
      </c>
      <c r="S488">
        <v>1</v>
      </c>
      <c r="T488">
        <v>1</v>
      </c>
    </row>
    <row r="489" spans="1:20" x14ac:dyDescent="0.2">
      <c r="A489" t="s">
        <v>1126</v>
      </c>
      <c r="B489" t="s">
        <v>21</v>
      </c>
      <c r="C489" t="s">
        <v>1127</v>
      </c>
      <c r="D489" t="s">
        <v>1128</v>
      </c>
      <c r="E489" t="s">
        <v>410</v>
      </c>
      <c r="F489" t="s">
        <v>25</v>
      </c>
      <c r="G489" t="s">
        <v>411</v>
      </c>
      <c r="H489" t="s">
        <v>1071</v>
      </c>
      <c r="I489" t="s">
        <v>1129</v>
      </c>
      <c r="J489" t="s">
        <v>45</v>
      </c>
      <c r="K489" t="s">
        <v>46</v>
      </c>
      <c r="L489" t="s">
        <v>38</v>
      </c>
      <c r="M489" s="1">
        <v>0</v>
      </c>
      <c r="N489">
        <v>0</v>
      </c>
      <c r="O489">
        <v>0</v>
      </c>
      <c r="P489">
        <v>91.25</v>
      </c>
      <c r="Q489">
        <v>0</v>
      </c>
      <c r="R489" s="2">
        <v>0</v>
      </c>
      <c r="S489">
        <v>1</v>
      </c>
      <c r="T489">
        <v>1</v>
      </c>
    </row>
    <row r="490" spans="1:20" x14ac:dyDescent="0.2">
      <c r="A490" t="s">
        <v>32</v>
      </c>
      <c r="B490" t="s">
        <v>21</v>
      </c>
      <c r="C490" t="s">
        <v>1139</v>
      </c>
      <c r="D490" t="s">
        <v>1140</v>
      </c>
      <c r="E490" t="s">
        <v>410</v>
      </c>
      <c r="F490" t="s">
        <v>25</v>
      </c>
      <c r="G490" t="s">
        <v>411</v>
      </c>
      <c r="H490" t="s">
        <v>1071</v>
      </c>
      <c r="I490" t="s">
        <v>1141</v>
      </c>
      <c r="J490" t="s">
        <v>45</v>
      </c>
      <c r="K490" t="s">
        <v>46</v>
      </c>
      <c r="L490" t="s">
        <v>556</v>
      </c>
      <c r="M490" s="1">
        <v>0</v>
      </c>
      <c r="N490">
        <v>0</v>
      </c>
      <c r="O490">
        <v>0</v>
      </c>
      <c r="P490">
        <v>91.25</v>
      </c>
      <c r="Q490">
        <v>1</v>
      </c>
      <c r="R490" s="2">
        <v>0</v>
      </c>
      <c r="S490">
        <v>0</v>
      </c>
      <c r="T490">
        <v>0</v>
      </c>
    </row>
    <row r="491" spans="1:20" x14ac:dyDescent="0.2">
      <c r="A491" t="s">
        <v>51</v>
      </c>
      <c r="B491" t="s">
        <v>21</v>
      </c>
      <c r="C491" t="s">
        <v>408</v>
      </c>
      <c r="D491" t="s">
        <v>409</v>
      </c>
      <c r="E491" t="s">
        <v>410</v>
      </c>
      <c r="F491" t="s">
        <v>25</v>
      </c>
      <c r="G491" t="s">
        <v>411</v>
      </c>
      <c r="H491" t="s">
        <v>319</v>
      </c>
      <c r="I491" t="s">
        <v>259</v>
      </c>
      <c r="J491" t="s">
        <v>45</v>
      </c>
      <c r="K491" t="s">
        <v>46</v>
      </c>
      <c r="L491" t="s">
        <v>38</v>
      </c>
      <c r="M491" s="1">
        <v>0</v>
      </c>
      <c r="N491">
        <v>0</v>
      </c>
      <c r="O491">
        <v>0</v>
      </c>
      <c r="P491">
        <v>91.25</v>
      </c>
      <c r="Q491">
        <v>0</v>
      </c>
      <c r="R491" s="2">
        <v>0</v>
      </c>
      <c r="S491">
        <v>1</v>
      </c>
      <c r="T491">
        <v>1</v>
      </c>
    </row>
    <row r="492" spans="1:20" x14ac:dyDescent="0.2">
      <c r="A492" t="s">
        <v>345</v>
      </c>
      <c r="B492" t="s">
        <v>21</v>
      </c>
      <c r="C492" t="s">
        <v>553</v>
      </c>
      <c r="D492" t="s">
        <v>554</v>
      </c>
      <c r="E492" t="s">
        <v>410</v>
      </c>
      <c r="F492" t="s">
        <v>25</v>
      </c>
      <c r="G492" t="s">
        <v>411</v>
      </c>
      <c r="H492" t="s">
        <v>550</v>
      </c>
      <c r="I492" t="s">
        <v>555</v>
      </c>
      <c r="J492" t="s">
        <v>45</v>
      </c>
      <c r="K492" t="s">
        <v>46</v>
      </c>
      <c r="L492" t="s">
        <v>556</v>
      </c>
      <c r="M492" s="1">
        <v>0</v>
      </c>
      <c r="N492">
        <v>0</v>
      </c>
      <c r="O492">
        <v>0</v>
      </c>
      <c r="P492">
        <v>91.25</v>
      </c>
      <c r="Q492">
        <v>0</v>
      </c>
      <c r="R492" s="2">
        <v>0</v>
      </c>
      <c r="S492">
        <v>0</v>
      </c>
      <c r="T492">
        <v>1</v>
      </c>
    </row>
    <row r="493" spans="1:20" x14ac:dyDescent="0.2">
      <c r="A493" t="s">
        <v>146</v>
      </c>
      <c r="B493" t="s">
        <v>21</v>
      </c>
      <c r="C493" t="s">
        <v>430</v>
      </c>
      <c r="D493" t="s">
        <v>431</v>
      </c>
      <c r="E493" t="s">
        <v>432</v>
      </c>
      <c r="F493" t="s">
        <v>25</v>
      </c>
      <c r="G493" t="s">
        <v>433</v>
      </c>
      <c r="H493" t="s">
        <v>319</v>
      </c>
      <c r="I493" t="s">
        <v>28</v>
      </c>
      <c r="J493" t="s">
        <v>29</v>
      </c>
      <c r="K493" t="s">
        <v>46</v>
      </c>
      <c r="L493" t="s">
        <v>38</v>
      </c>
      <c r="M493" s="1">
        <v>0</v>
      </c>
      <c r="N493">
        <v>0</v>
      </c>
      <c r="O493">
        <v>0</v>
      </c>
      <c r="P493">
        <v>91.25</v>
      </c>
      <c r="Q493">
        <v>0</v>
      </c>
      <c r="R493" s="2">
        <v>0</v>
      </c>
      <c r="S493">
        <v>1</v>
      </c>
      <c r="T493">
        <v>1</v>
      </c>
    </row>
    <row r="494" spans="1:20" x14ac:dyDescent="0.2">
      <c r="A494" t="s">
        <v>51</v>
      </c>
      <c r="B494" t="s">
        <v>21</v>
      </c>
      <c r="C494" t="s">
        <v>819</v>
      </c>
      <c r="D494" t="s">
        <v>820</v>
      </c>
      <c r="E494" t="s">
        <v>432</v>
      </c>
      <c r="F494" t="s">
        <v>58</v>
      </c>
      <c r="G494" t="s">
        <v>433</v>
      </c>
      <c r="H494" t="s">
        <v>748</v>
      </c>
      <c r="I494" t="s">
        <v>28</v>
      </c>
      <c r="J494" t="s">
        <v>29</v>
      </c>
      <c r="K494" t="s">
        <v>46</v>
      </c>
      <c r="L494" t="s">
        <v>38</v>
      </c>
      <c r="M494" s="1">
        <v>0</v>
      </c>
      <c r="N494">
        <v>0</v>
      </c>
      <c r="O494">
        <v>0</v>
      </c>
      <c r="P494">
        <v>91.25</v>
      </c>
      <c r="Q494">
        <v>0</v>
      </c>
      <c r="R494" s="2">
        <v>0</v>
      </c>
      <c r="S494">
        <v>1</v>
      </c>
      <c r="T494">
        <v>1</v>
      </c>
    </row>
    <row r="495" spans="1:20" x14ac:dyDescent="0.2">
      <c r="A495" t="s">
        <v>157</v>
      </c>
      <c r="B495" t="s">
        <v>158</v>
      </c>
      <c r="C495" t="s">
        <v>1486</v>
      </c>
      <c r="D495" t="s">
        <v>1487</v>
      </c>
      <c r="E495" t="s">
        <v>1488</v>
      </c>
      <c r="F495" t="s">
        <v>25</v>
      </c>
      <c r="G495" t="s">
        <v>1489</v>
      </c>
      <c r="H495" t="s">
        <v>1410</v>
      </c>
      <c r="I495" t="s">
        <v>397</v>
      </c>
      <c r="J495" t="s">
        <v>29</v>
      </c>
      <c r="K495" t="s">
        <v>46</v>
      </c>
      <c r="L495" t="s">
        <v>556</v>
      </c>
      <c r="M495" s="1">
        <v>0</v>
      </c>
      <c r="N495">
        <v>0</v>
      </c>
      <c r="O495">
        <v>0</v>
      </c>
      <c r="P495">
        <v>91.25</v>
      </c>
      <c r="Q495">
        <v>1</v>
      </c>
      <c r="R495" s="2">
        <v>0</v>
      </c>
      <c r="S495">
        <v>0</v>
      </c>
      <c r="T495">
        <v>0</v>
      </c>
    </row>
    <row r="496" spans="1:20" x14ac:dyDescent="0.2">
      <c r="A496" t="s">
        <v>598</v>
      </c>
      <c r="B496" t="s">
        <v>21</v>
      </c>
      <c r="C496" t="s">
        <v>599</v>
      </c>
      <c r="D496" t="s">
        <v>600</v>
      </c>
      <c r="E496" t="s">
        <v>601</v>
      </c>
      <c r="F496" t="s">
        <v>25</v>
      </c>
      <c r="G496" t="s">
        <v>602</v>
      </c>
      <c r="H496" t="s">
        <v>550</v>
      </c>
      <c r="I496" t="s">
        <v>75</v>
      </c>
      <c r="J496" t="s">
        <v>29</v>
      </c>
      <c r="K496" t="s">
        <v>46</v>
      </c>
      <c r="L496" t="s">
        <v>38</v>
      </c>
      <c r="M496" s="1">
        <v>0</v>
      </c>
      <c r="N496">
        <v>0</v>
      </c>
      <c r="O496">
        <v>0</v>
      </c>
      <c r="P496">
        <v>91.25</v>
      </c>
      <c r="Q496">
        <v>0</v>
      </c>
      <c r="R496" s="2">
        <v>0</v>
      </c>
      <c r="S496">
        <v>1</v>
      </c>
      <c r="T496">
        <v>1</v>
      </c>
    </row>
    <row r="497" spans="1:20" x14ac:dyDescent="0.2">
      <c r="A497" t="s">
        <v>666</v>
      </c>
      <c r="B497" t="s">
        <v>158</v>
      </c>
      <c r="C497" t="s">
        <v>667</v>
      </c>
      <c r="D497" t="s">
        <v>668</v>
      </c>
      <c r="E497" t="s">
        <v>601</v>
      </c>
      <c r="F497" t="s">
        <v>25</v>
      </c>
      <c r="G497" t="s">
        <v>602</v>
      </c>
      <c r="H497" t="s">
        <v>550</v>
      </c>
      <c r="I497" t="s">
        <v>75</v>
      </c>
      <c r="J497" t="s">
        <v>29</v>
      </c>
      <c r="K497" t="s">
        <v>46</v>
      </c>
      <c r="L497" t="s">
        <v>31</v>
      </c>
      <c r="M497" s="1">
        <v>336698.41</v>
      </c>
      <c r="N497">
        <v>1</v>
      </c>
      <c r="O497">
        <v>1</v>
      </c>
      <c r="P497">
        <v>91.25</v>
      </c>
      <c r="Q497">
        <v>0</v>
      </c>
      <c r="R497" s="2">
        <v>1</v>
      </c>
      <c r="S497">
        <v>0</v>
      </c>
      <c r="T497">
        <v>0</v>
      </c>
    </row>
    <row r="498" spans="1:20" x14ac:dyDescent="0.2">
      <c r="A498" t="s">
        <v>333</v>
      </c>
      <c r="B498" t="s">
        <v>158</v>
      </c>
      <c r="C498" t="s">
        <v>1540</v>
      </c>
      <c r="D498" t="s">
        <v>1541</v>
      </c>
      <c r="E498" t="s">
        <v>601</v>
      </c>
      <c r="F498" t="s">
        <v>25</v>
      </c>
      <c r="G498" t="s">
        <v>602</v>
      </c>
      <c r="H498" t="s">
        <v>1410</v>
      </c>
      <c r="I498" t="s">
        <v>75</v>
      </c>
      <c r="J498" t="s">
        <v>29</v>
      </c>
      <c r="K498" t="s">
        <v>46</v>
      </c>
      <c r="L498" t="s">
        <v>556</v>
      </c>
      <c r="M498" s="1">
        <v>0</v>
      </c>
      <c r="N498">
        <v>0</v>
      </c>
      <c r="O498">
        <v>0</v>
      </c>
      <c r="P498">
        <v>91.25</v>
      </c>
      <c r="Q498">
        <v>1</v>
      </c>
      <c r="R498" s="2">
        <v>0</v>
      </c>
      <c r="S498">
        <v>0</v>
      </c>
      <c r="T498">
        <v>0</v>
      </c>
    </row>
    <row r="499" spans="1:20" x14ac:dyDescent="0.2">
      <c r="A499" t="s">
        <v>619</v>
      </c>
      <c r="B499" t="s">
        <v>21</v>
      </c>
      <c r="C499" t="s">
        <v>620</v>
      </c>
      <c r="D499" t="s">
        <v>621</v>
      </c>
      <c r="E499" t="s">
        <v>601</v>
      </c>
      <c r="F499" t="s">
        <v>25</v>
      </c>
      <c r="G499" t="s">
        <v>602</v>
      </c>
      <c r="H499" t="s">
        <v>550</v>
      </c>
      <c r="I499" t="s">
        <v>622</v>
      </c>
      <c r="J499" t="s">
        <v>29</v>
      </c>
      <c r="K499" t="s">
        <v>46</v>
      </c>
      <c r="L499" t="s">
        <v>31</v>
      </c>
      <c r="M499" s="1">
        <v>51076</v>
      </c>
      <c r="N499">
        <v>1</v>
      </c>
      <c r="O499">
        <v>1</v>
      </c>
      <c r="P499">
        <v>91.25</v>
      </c>
      <c r="Q499">
        <v>0</v>
      </c>
      <c r="R499" s="2">
        <v>1</v>
      </c>
      <c r="S499">
        <v>0</v>
      </c>
      <c r="T499">
        <v>0</v>
      </c>
    </row>
    <row r="500" spans="1:20" x14ac:dyDescent="0.2">
      <c r="A500" t="s">
        <v>219</v>
      </c>
      <c r="B500" t="s">
        <v>158</v>
      </c>
      <c r="C500" t="s">
        <v>887</v>
      </c>
      <c r="D500" t="s">
        <v>888</v>
      </c>
      <c r="E500" t="s">
        <v>889</v>
      </c>
      <c r="F500" t="s">
        <v>25</v>
      </c>
      <c r="G500" t="s">
        <v>890</v>
      </c>
      <c r="H500" t="s">
        <v>748</v>
      </c>
      <c r="I500" t="s">
        <v>28</v>
      </c>
      <c r="J500" t="s">
        <v>29</v>
      </c>
      <c r="K500" t="s">
        <v>46</v>
      </c>
      <c r="L500" t="s">
        <v>31</v>
      </c>
      <c r="M500" s="1">
        <v>30960.78</v>
      </c>
      <c r="N500">
        <v>1</v>
      </c>
      <c r="O500">
        <v>1</v>
      </c>
      <c r="P500">
        <v>91.25</v>
      </c>
      <c r="Q500">
        <v>0</v>
      </c>
      <c r="R500" s="2">
        <v>1</v>
      </c>
      <c r="S500">
        <v>0</v>
      </c>
      <c r="T500">
        <v>0</v>
      </c>
    </row>
    <row r="501" spans="1:20" x14ac:dyDescent="0.2">
      <c r="A501" t="s">
        <v>265</v>
      </c>
      <c r="B501" t="s">
        <v>262</v>
      </c>
      <c r="C501" t="s">
        <v>1005</v>
      </c>
      <c r="D501" t="s">
        <v>1006</v>
      </c>
      <c r="E501" t="s">
        <v>1007</v>
      </c>
      <c r="F501" t="s">
        <v>25</v>
      </c>
      <c r="G501" t="s">
        <v>1008</v>
      </c>
      <c r="H501" t="s">
        <v>748</v>
      </c>
      <c r="I501" t="s">
        <v>28</v>
      </c>
      <c r="J501" t="s">
        <v>29</v>
      </c>
      <c r="K501" t="s">
        <v>46</v>
      </c>
      <c r="L501" t="s">
        <v>38</v>
      </c>
      <c r="M501" s="1">
        <v>111111.11</v>
      </c>
      <c r="N501">
        <v>0</v>
      </c>
      <c r="O501">
        <v>1</v>
      </c>
      <c r="P501">
        <v>91.25</v>
      </c>
      <c r="Q501">
        <v>0</v>
      </c>
      <c r="R501" s="2">
        <v>1</v>
      </c>
      <c r="S501">
        <v>1</v>
      </c>
      <c r="T501">
        <v>0</v>
      </c>
    </row>
    <row r="502" spans="1:20" x14ac:dyDescent="0.2">
      <c r="A502" t="s">
        <v>265</v>
      </c>
      <c r="B502" t="s">
        <v>262</v>
      </c>
      <c r="C502" t="s">
        <v>1357</v>
      </c>
      <c r="D502" t="s">
        <v>1358</v>
      </c>
      <c r="E502" t="s">
        <v>1007</v>
      </c>
      <c r="F502" t="s">
        <v>25</v>
      </c>
      <c r="G502" t="s">
        <v>1008</v>
      </c>
      <c r="H502" t="s">
        <v>1071</v>
      </c>
      <c r="I502" t="s">
        <v>28</v>
      </c>
      <c r="J502" t="s">
        <v>29</v>
      </c>
      <c r="K502" t="s">
        <v>46</v>
      </c>
      <c r="L502" t="s">
        <v>31</v>
      </c>
      <c r="M502" s="1">
        <v>148148.12</v>
      </c>
      <c r="N502">
        <v>1</v>
      </c>
      <c r="O502">
        <v>1</v>
      </c>
      <c r="P502">
        <v>91.25</v>
      </c>
      <c r="Q502">
        <v>0</v>
      </c>
      <c r="R502" s="2">
        <v>1</v>
      </c>
      <c r="S502">
        <v>0</v>
      </c>
      <c r="T502">
        <v>0</v>
      </c>
    </row>
    <row r="503" spans="1:20" x14ac:dyDescent="0.2">
      <c r="A503" t="s">
        <v>126</v>
      </c>
      <c r="B503" t="s">
        <v>158</v>
      </c>
      <c r="C503" t="s">
        <v>171</v>
      </c>
      <c r="D503" t="s">
        <v>172</v>
      </c>
      <c r="E503" t="s">
        <v>173</v>
      </c>
      <c r="F503" t="s">
        <v>25</v>
      </c>
      <c r="G503" t="s">
        <v>174</v>
      </c>
      <c r="H503" t="s">
        <v>27</v>
      </c>
      <c r="I503" t="s">
        <v>28</v>
      </c>
      <c r="J503" t="s">
        <v>29</v>
      </c>
      <c r="K503" t="s">
        <v>46</v>
      </c>
      <c r="L503" t="s">
        <v>31</v>
      </c>
      <c r="M503" s="1">
        <v>1447527.16</v>
      </c>
      <c r="N503">
        <v>1</v>
      </c>
      <c r="O503">
        <v>1</v>
      </c>
      <c r="P503">
        <v>91.25</v>
      </c>
      <c r="Q503">
        <v>0</v>
      </c>
      <c r="R503" s="2">
        <v>1</v>
      </c>
      <c r="S503">
        <v>0</v>
      </c>
      <c r="T503">
        <v>0</v>
      </c>
    </row>
    <row r="504" spans="1:20" x14ac:dyDescent="0.2">
      <c r="A504" t="s">
        <v>265</v>
      </c>
      <c r="B504" t="s">
        <v>262</v>
      </c>
      <c r="C504" t="s">
        <v>1065</v>
      </c>
      <c r="D504" t="s">
        <v>1066</v>
      </c>
      <c r="E504" t="s">
        <v>1067</v>
      </c>
      <c r="F504" t="s">
        <v>25</v>
      </c>
      <c r="G504" t="s">
        <v>1068</v>
      </c>
      <c r="H504" t="s">
        <v>748</v>
      </c>
      <c r="I504" t="s">
        <v>88</v>
      </c>
      <c r="J504" t="s">
        <v>29</v>
      </c>
      <c r="K504" t="s">
        <v>46</v>
      </c>
      <c r="L504" t="s">
        <v>38</v>
      </c>
      <c r="M504" s="1">
        <v>0</v>
      </c>
      <c r="N504">
        <v>0</v>
      </c>
      <c r="O504">
        <v>0</v>
      </c>
      <c r="P504">
        <v>91.25</v>
      </c>
      <c r="Q504">
        <v>0</v>
      </c>
      <c r="R504" s="2">
        <v>0</v>
      </c>
      <c r="S504">
        <v>1</v>
      </c>
      <c r="T504">
        <v>1</v>
      </c>
    </row>
    <row r="505" spans="1:20" x14ac:dyDescent="0.2">
      <c r="A505" t="s">
        <v>265</v>
      </c>
      <c r="B505" t="s">
        <v>262</v>
      </c>
      <c r="C505" t="s">
        <v>1009</v>
      </c>
      <c r="D505" t="s">
        <v>1010</v>
      </c>
      <c r="E505" t="s">
        <v>1011</v>
      </c>
      <c r="F505" t="s">
        <v>25</v>
      </c>
      <c r="G505" t="s">
        <v>1012</v>
      </c>
      <c r="H505" t="s">
        <v>748</v>
      </c>
      <c r="I505" t="s">
        <v>28</v>
      </c>
      <c r="J505" t="s">
        <v>29</v>
      </c>
      <c r="K505" t="s">
        <v>46</v>
      </c>
      <c r="L505" t="s">
        <v>38</v>
      </c>
      <c r="M505" s="1">
        <v>0</v>
      </c>
      <c r="N505">
        <v>0</v>
      </c>
      <c r="O505">
        <v>0</v>
      </c>
      <c r="P505">
        <v>91.25</v>
      </c>
      <c r="Q505">
        <v>0</v>
      </c>
      <c r="R505" s="2">
        <v>0</v>
      </c>
      <c r="S505">
        <v>1</v>
      </c>
      <c r="T505">
        <v>1</v>
      </c>
    </row>
    <row r="506" spans="1:20" x14ac:dyDescent="0.2">
      <c r="A506" t="s">
        <v>157</v>
      </c>
      <c r="B506" t="s">
        <v>158</v>
      </c>
      <c r="C506" t="s">
        <v>159</v>
      </c>
      <c r="D506" t="s">
        <v>160</v>
      </c>
      <c r="E506" t="s">
        <v>161</v>
      </c>
      <c r="F506" t="s">
        <v>25</v>
      </c>
      <c r="G506" t="s">
        <v>162</v>
      </c>
      <c r="H506" t="s">
        <v>27</v>
      </c>
      <c r="I506" t="s">
        <v>28</v>
      </c>
      <c r="J506" t="s">
        <v>29</v>
      </c>
      <c r="K506" t="s">
        <v>46</v>
      </c>
      <c r="L506" t="s">
        <v>38</v>
      </c>
      <c r="M506" s="1">
        <v>0</v>
      </c>
      <c r="N506">
        <v>0</v>
      </c>
      <c r="O506">
        <v>0</v>
      </c>
      <c r="P506">
        <v>91.25</v>
      </c>
      <c r="Q506">
        <v>0</v>
      </c>
      <c r="R506" s="2">
        <v>0</v>
      </c>
      <c r="S506">
        <v>1</v>
      </c>
      <c r="T506">
        <v>1</v>
      </c>
    </row>
    <row r="507" spans="1:20" x14ac:dyDescent="0.2">
      <c r="A507" t="s">
        <v>1245</v>
      </c>
      <c r="B507" t="s">
        <v>158</v>
      </c>
      <c r="C507" t="s">
        <v>1299</v>
      </c>
      <c r="D507" t="s">
        <v>1300</v>
      </c>
      <c r="E507" t="s">
        <v>161</v>
      </c>
      <c r="F507" t="s">
        <v>25</v>
      </c>
      <c r="G507" t="s">
        <v>162</v>
      </c>
      <c r="H507" t="s">
        <v>1071</v>
      </c>
      <c r="I507" t="s">
        <v>28</v>
      </c>
      <c r="J507" t="s">
        <v>29</v>
      </c>
      <c r="K507" t="s">
        <v>46</v>
      </c>
      <c r="L507" t="s">
        <v>556</v>
      </c>
      <c r="M507" s="1">
        <v>0</v>
      </c>
      <c r="N507">
        <v>0</v>
      </c>
      <c r="O507">
        <v>0</v>
      </c>
      <c r="P507">
        <v>91.25</v>
      </c>
      <c r="Q507">
        <v>1</v>
      </c>
      <c r="R507" s="2">
        <v>0</v>
      </c>
      <c r="S507">
        <v>0</v>
      </c>
      <c r="T507">
        <v>0</v>
      </c>
    </row>
    <row r="508" spans="1:20" x14ac:dyDescent="0.2">
      <c r="A508" t="s">
        <v>1245</v>
      </c>
      <c r="B508" t="s">
        <v>158</v>
      </c>
      <c r="C508" t="s">
        <v>1246</v>
      </c>
      <c r="D508" t="s">
        <v>1247</v>
      </c>
      <c r="E508" t="s">
        <v>1248</v>
      </c>
      <c r="F508" t="s">
        <v>25</v>
      </c>
      <c r="G508" t="s">
        <v>1249</v>
      </c>
      <c r="H508" t="s">
        <v>1071</v>
      </c>
      <c r="I508" t="s">
        <v>28</v>
      </c>
      <c r="J508" t="s">
        <v>29</v>
      </c>
      <c r="K508" t="s">
        <v>46</v>
      </c>
      <c r="L508" t="s">
        <v>38</v>
      </c>
      <c r="M508" s="1">
        <v>0</v>
      </c>
      <c r="N508">
        <v>0</v>
      </c>
      <c r="O508">
        <v>0</v>
      </c>
      <c r="P508">
        <v>91.25</v>
      </c>
      <c r="Q508">
        <v>0</v>
      </c>
      <c r="R508" s="2">
        <v>0</v>
      </c>
      <c r="S508">
        <v>1</v>
      </c>
      <c r="T508">
        <v>1</v>
      </c>
    </row>
    <row r="509" spans="1:20" x14ac:dyDescent="0.2">
      <c r="A509" t="s">
        <v>1171</v>
      </c>
      <c r="B509" t="s">
        <v>21</v>
      </c>
      <c r="C509" t="s">
        <v>1420</v>
      </c>
      <c r="D509" t="s">
        <v>1421</v>
      </c>
      <c r="E509" t="s">
        <v>1248</v>
      </c>
      <c r="F509" t="s">
        <v>25</v>
      </c>
      <c r="G509" t="s">
        <v>1249</v>
      </c>
      <c r="H509" t="s">
        <v>1410</v>
      </c>
      <c r="I509" t="s">
        <v>28</v>
      </c>
      <c r="J509" t="s">
        <v>29</v>
      </c>
      <c r="K509" t="s">
        <v>46</v>
      </c>
      <c r="L509" t="s">
        <v>556</v>
      </c>
      <c r="M509" s="1">
        <v>0</v>
      </c>
      <c r="N509">
        <v>0</v>
      </c>
      <c r="O509">
        <v>0</v>
      </c>
      <c r="P509">
        <v>91.25</v>
      </c>
      <c r="Q509">
        <v>1</v>
      </c>
      <c r="R509" s="2">
        <v>0</v>
      </c>
      <c r="S509">
        <v>0</v>
      </c>
      <c r="T509">
        <v>0</v>
      </c>
    </row>
    <row r="510" spans="1:20" x14ac:dyDescent="0.2">
      <c r="A510" t="s">
        <v>1490</v>
      </c>
      <c r="B510" t="s">
        <v>158</v>
      </c>
      <c r="C510" t="s">
        <v>1491</v>
      </c>
      <c r="D510" t="s">
        <v>1492</v>
      </c>
      <c r="E510" t="s">
        <v>1248</v>
      </c>
      <c r="F510" t="s">
        <v>25</v>
      </c>
      <c r="G510" t="s">
        <v>1249</v>
      </c>
      <c r="H510" t="s">
        <v>1410</v>
      </c>
      <c r="I510" t="s">
        <v>28</v>
      </c>
      <c r="J510" t="s">
        <v>29</v>
      </c>
      <c r="K510" t="s">
        <v>46</v>
      </c>
      <c r="L510" t="s">
        <v>556</v>
      </c>
      <c r="M510" s="1">
        <v>0</v>
      </c>
      <c r="N510">
        <v>0</v>
      </c>
      <c r="O510">
        <v>0</v>
      </c>
      <c r="P510">
        <v>91.25</v>
      </c>
      <c r="Q510">
        <v>1</v>
      </c>
      <c r="R510" s="2">
        <v>0</v>
      </c>
      <c r="S510">
        <v>0</v>
      </c>
      <c r="T510">
        <v>0</v>
      </c>
    </row>
    <row r="511" spans="1:20" x14ac:dyDescent="0.2">
      <c r="A511" t="s">
        <v>91</v>
      </c>
      <c r="B511" t="s">
        <v>21</v>
      </c>
      <c r="C511" t="s">
        <v>92</v>
      </c>
      <c r="D511" t="s">
        <v>93</v>
      </c>
      <c r="E511" t="s">
        <v>94</v>
      </c>
      <c r="F511" t="s">
        <v>25</v>
      </c>
      <c r="G511" t="s">
        <v>95</v>
      </c>
      <c r="H511" t="s">
        <v>27</v>
      </c>
      <c r="I511" t="s">
        <v>75</v>
      </c>
      <c r="J511" t="s">
        <v>29</v>
      </c>
      <c r="K511" t="s">
        <v>46</v>
      </c>
      <c r="L511" t="s">
        <v>31</v>
      </c>
      <c r="M511" s="1">
        <v>1327222.3999999999</v>
      </c>
      <c r="N511">
        <v>1</v>
      </c>
      <c r="O511">
        <v>1</v>
      </c>
      <c r="P511">
        <v>91.25</v>
      </c>
      <c r="Q511">
        <v>0</v>
      </c>
      <c r="R511" s="2">
        <v>1</v>
      </c>
      <c r="S511">
        <v>0</v>
      </c>
      <c r="T511">
        <v>0</v>
      </c>
    </row>
    <row r="512" spans="1:20" x14ac:dyDescent="0.2">
      <c r="A512" t="s">
        <v>175</v>
      </c>
      <c r="B512" t="s">
        <v>158</v>
      </c>
      <c r="C512" t="s">
        <v>653</v>
      </c>
      <c r="D512" t="s">
        <v>654</v>
      </c>
      <c r="E512" t="s">
        <v>94</v>
      </c>
      <c r="F512" t="s">
        <v>25</v>
      </c>
      <c r="G512" t="s">
        <v>95</v>
      </c>
      <c r="H512" t="s">
        <v>550</v>
      </c>
      <c r="I512" t="s">
        <v>75</v>
      </c>
      <c r="J512" t="s">
        <v>29</v>
      </c>
      <c r="K512" t="s">
        <v>46</v>
      </c>
      <c r="L512" t="s">
        <v>31</v>
      </c>
      <c r="M512" s="1">
        <v>302407.31</v>
      </c>
      <c r="N512">
        <v>1</v>
      </c>
      <c r="O512">
        <v>1</v>
      </c>
      <c r="P512">
        <v>91.25</v>
      </c>
      <c r="Q512">
        <v>0</v>
      </c>
      <c r="R512" s="2">
        <v>1</v>
      </c>
      <c r="S512">
        <v>0</v>
      </c>
      <c r="T512">
        <v>0</v>
      </c>
    </row>
    <row r="513" spans="1:20" x14ac:dyDescent="0.2">
      <c r="A513" t="s">
        <v>96</v>
      </c>
      <c r="B513" t="s">
        <v>21</v>
      </c>
      <c r="C513" t="s">
        <v>845</v>
      </c>
      <c r="D513" t="s">
        <v>846</v>
      </c>
      <c r="E513" t="s">
        <v>94</v>
      </c>
      <c r="F513" t="s">
        <v>25</v>
      </c>
      <c r="G513" t="s">
        <v>95</v>
      </c>
      <c r="H513" t="s">
        <v>748</v>
      </c>
      <c r="I513" t="s">
        <v>75</v>
      </c>
      <c r="J513" t="s">
        <v>29</v>
      </c>
      <c r="K513" t="s">
        <v>46</v>
      </c>
      <c r="L513" t="s">
        <v>38</v>
      </c>
      <c r="M513" s="1">
        <v>0</v>
      </c>
      <c r="N513">
        <v>0</v>
      </c>
      <c r="O513">
        <v>0</v>
      </c>
      <c r="P513">
        <v>91.25</v>
      </c>
      <c r="Q513">
        <v>0</v>
      </c>
      <c r="R513" s="2">
        <v>0</v>
      </c>
      <c r="S513">
        <v>1</v>
      </c>
      <c r="T513">
        <v>1</v>
      </c>
    </row>
    <row r="514" spans="1:20" x14ac:dyDescent="0.2">
      <c r="A514" t="s">
        <v>227</v>
      </c>
      <c r="B514" t="s">
        <v>158</v>
      </c>
      <c r="C514" t="s">
        <v>857</v>
      </c>
      <c r="D514" t="s">
        <v>858</v>
      </c>
      <c r="E514" t="s">
        <v>94</v>
      </c>
      <c r="F514" t="s">
        <v>25</v>
      </c>
      <c r="G514" t="s">
        <v>95</v>
      </c>
      <c r="H514" t="s">
        <v>748</v>
      </c>
      <c r="I514" t="s">
        <v>75</v>
      </c>
      <c r="J514" t="s">
        <v>29</v>
      </c>
      <c r="K514" t="s">
        <v>46</v>
      </c>
      <c r="L514" t="s">
        <v>31</v>
      </c>
      <c r="M514" s="1">
        <v>0</v>
      </c>
      <c r="N514">
        <v>1</v>
      </c>
      <c r="O514">
        <v>1</v>
      </c>
      <c r="P514">
        <v>91.25</v>
      </c>
      <c r="Q514">
        <v>0</v>
      </c>
      <c r="R514" s="2">
        <v>1</v>
      </c>
      <c r="S514">
        <v>0</v>
      </c>
      <c r="T514">
        <v>0</v>
      </c>
    </row>
    <row r="515" spans="1:20" x14ac:dyDescent="0.2">
      <c r="A515" t="s">
        <v>666</v>
      </c>
      <c r="B515" t="s">
        <v>158</v>
      </c>
      <c r="C515" t="s">
        <v>912</v>
      </c>
      <c r="D515" t="s">
        <v>913</v>
      </c>
      <c r="E515" t="s">
        <v>94</v>
      </c>
      <c r="F515" t="s">
        <v>25</v>
      </c>
      <c r="G515" t="s">
        <v>95</v>
      </c>
      <c r="H515" t="s">
        <v>748</v>
      </c>
      <c r="I515" t="s">
        <v>75</v>
      </c>
      <c r="J515" t="s">
        <v>29</v>
      </c>
      <c r="K515" t="s">
        <v>46</v>
      </c>
      <c r="L515" t="s">
        <v>31</v>
      </c>
      <c r="M515" s="1">
        <v>0</v>
      </c>
      <c r="N515">
        <v>1</v>
      </c>
      <c r="O515">
        <v>1</v>
      </c>
      <c r="P515">
        <v>91.25</v>
      </c>
      <c r="Q515">
        <v>0</v>
      </c>
      <c r="R515" s="2">
        <v>1</v>
      </c>
      <c r="S515">
        <v>0</v>
      </c>
      <c r="T515">
        <v>0</v>
      </c>
    </row>
    <row r="516" spans="1:20" x14ac:dyDescent="0.2">
      <c r="A516" t="s">
        <v>438</v>
      </c>
      <c r="B516" t="s">
        <v>158</v>
      </c>
      <c r="C516" t="s">
        <v>924</v>
      </c>
      <c r="D516" t="s">
        <v>925</v>
      </c>
      <c r="E516" t="s">
        <v>94</v>
      </c>
      <c r="F516" t="s">
        <v>25</v>
      </c>
      <c r="G516" t="s">
        <v>95</v>
      </c>
      <c r="H516" t="s">
        <v>748</v>
      </c>
      <c r="I516" t="s">
        <v>75</v>
      </c>
      <c r="J516" t="s">
        <v>29</v>
      </c>
      <c r="K516" t="s">
        <v>46</v>
      </c>
      <c r="L516" t="s">
        <v>38</v>
      </c>
      <c r="M516" s="1">
        <v>0</v>
      </c>
      <c r="N516">
        <v>0</v>
      </c>
      <c r="O516">
        <v>0</v>
      </c>
      <c r="P516">
        <v>91.25</v>
      </c>
      <c r="Q516">
        <v>0</v>
      </c>
      <c r="R516" s="2">
        <v>0</v>
      </c>
      <c r="S516">
        <v>1</v>
      </c>
      <c r="T516">
        <v>1</v>
      </c>
    </row>
    <row r="517" spans="1:20" x14ac:dyDescent="0.2">
      <c r="A517" t="s">
        <v>713</v>
      </c>
      <c r="B517" t="s">
        <v>158</v>
      </c>
      <c r="C517" t="s">
        <v>937</v>
      </c>
      <c r="D517" t="s">
        <v>938</v>
      </c>
      <c r="E517" t="s">
        <v>94</v>
      </c>
      <c r="F517" t="s">
        <v>25</v>
      </c>
      <c r="G517" t="s">
        <v>95</v>
      </c>
      <c r="H517" t="s">
        <v>748</v>
      </c>
      <c r="I517" t="s">
        <v>75</v>
      </c>
      <c r="J517" t="s">
        <v>29</v>
      </c>
      <c r="K517" t="s">
        <v>46</v>
      </c>
      <c r="L517" t="s">
        <v>38</v>
      </c>
      <c r="M517" s="1">
        <v>0</v>
      </c>
      <c r="N517">
        <v>0</v>
      </c>
      <c r="O517">
        <v>0</v>
      </c>
      <c r="P517">
        <v>91.25</v>
      </c>
      <c r="Q517">
        <v>0</v>
      </c>
      <c r="R517" s="2">
        <v>0</v>
      </c>
      <c r="S517">
        <v>1</v>
      </c>
      <c r="T517">
        <v>1</v>
      </c>
    </row>
    <row r="518" spans="1:20" x14ac:dyDescent="0.2">
      <c r="A518" t="s">
        <v>20</v>
      </c>
      <c r="B518" t="s">
        <v>250</v>
      </c>
      <c r="C518" t="s">
        <v>997</v>
      </c>
      <c r="D518" t="s">
        <v>998</v>
      </c>
      <c r="E518" t="s">
        <v>94</v>
      </c>
      <c r="F518" t="s">
        <v>58</v>
      </c>
      <c r="G518" t="s">
        <v>95</v>
      </c>
      <c r="H518" t="s">
        <v>748</v>
      </c>
      <c r="I518" t="s">
        <v>75</v>
      </c>
      <c r="J518" t="s">
        <v>29</v>
      </c>
      <c r="K518" t="s">
        <v>46</v>
      </c>
      <c r="L518" t="s">
        <v>38</v>
      </c>
      <c r="M518" s="1">
        <v>0</v>
      </c>
      <c r="N518">
        <v>0</v>
      </c>
      <c r="O518">
        <v>0</v>
      </c>
      <c r="P518">
        <v>91.25</v>
      </c>
      <c r="Q518">
        <v>0</v>
      </c>
      <c r="R518" s="2">
        <v>0</v>
      </c>
      <c r="S518">
        <v>1</v>
      </c>
      <c r="T518">
        <v>1</v>
      </c>
    </row>
    <row r="519" spans="1:20" x14ac:dyDescent="0.2">
      <c r="A519" t="s">
        <v>51</v>
      </c>
      <c r="B519" t="s">
        <v>21</v>
      </c>
      <c r="C519" t="s">
        <v>1074</v>
      </c>
      <c r="D519" t="s">
        <v>1075</v>
      </c>
      <c r="E519" t="s">
        <v>94</v>
      </c>
      <c r="F519" t="s">
        <v>25</v>
      </c>
      <c r="G519" t="s">
        <v>95</v>
      </c>
      <c r="H519" t="s">
        <v>1071</v>
      </c>
      <c r="I519" t="s">
        <v>75</v>
      </c>
      <c r="J519" t="s">
        <v>29</v>
      </c>
      <c r="K519" t="s">
        <v>46</v>
      </c>
      <c r="L519" t="s">
        <v>31</v>
      </c>
      <c r="M519" s="1">
        <v>575081.99</v>
      </c>
      <c r="N519">
        <v>1</v>
      </c>
      <c r="O519">
        <v>1</v>
      </c>
      <c r="P519">
        <v>91.25</v>
      </c>
      <c r="Q519">
        <v>0</v>
      </c>
      <c r="R519" s="2">
        <v>1</v>
      </c>
      <c r="S519">
        <v>0</v>
      </c>
      <c r="T519">
        <v>0</v>
      </c>
    </row>
    <row r="520" spans="1:20" x14ac:dyDescent="0.2">
      <c r="A520" t="s">
        <v>51</v>
      </c>
      <c r="B520" t="s">
        <v>21</v>
      </c>
      <c r="C520" t="s">
        <v>1130</v>
      </c>
      <c r="D520" t="s">
        <v>1131</v>
      </c>
      <c r="E520" t="s">
        <v>94</v>
      </c>
      <c r="F520" t="s">
        <v>25</v>
      </c>
      <c r="G520" t="s">
        <v>95</v>
      </c>
      <c r="H520" t="s">
        <v>1071</v>
      </c>
      <c r="I520" t="s">
        <v>75</v>
      </c>
      <c r="J520" t="s">
        <v>29</v>
      </c>
      <c r="K520" t="s">
        <v>46</v>
      </c>
      <c r="L520" t="s">
        <v>31</v>
      </c>
      <c r="M520" s="1">
        <v>594692.97</v>
      </c>
      <c r="N520">
        <v>1</v>
      </c>
      <c r="O520">
        <v>1</v>
      </c>
      <c r="P520">
        <v>91.25</v>
      </c>
      <c r="Q520">
        <v>0</v>
      </c>
      <c r="R520" s="2">
        <v>1</v>
      </c>
      <c r="S520">
        <v>0</v>
      </c>
      <c r="T520">
        <v>0</v>
      </c>
    </row>
    <row r="521" spans="1:20" x14ac:dyDescent="0.2">
      <c r="A521" t="s">
        <v>1132</v>
      </c>
      <c r="B521" t="s">
        <v>21</v>
      </c>
      <c r="C521" t="s">
        <v>1133</v>
      </c>
      <c r="D521" t="s">
        <v>1134</v>
      </c>
      <c r="E521" t="s">
        <v>94</v>
      </c>
      <c r="F521" t="s">
        <v>58</v>
      </c>
      <c r="G521" t="s">
        <v>95</v>
      </c>
      <c r="H521" t="s">
        <v>1071</v>
      </c>
      <c r="I521" t="s">
        <v>75</v>
      </c>
      <c r="J521" t="s">
        <v>29</v>
      </c>
      <c r="K521" t="s">
        <v>46</v>
      </c>
      <c r="L521" t="s">
        <v>38</v>
      </c>
      <c r="M521" s="1">
        <v>0</v>
      </c>
      <c r="N521">
        <v>0</v>
      </c>
      <c r="O521">
        <v>0</v>
      </c>
      <c r="P521">
        <v>91.25</v>
      </c>
      <c r="Q521">
        <v>0</v>
      </c>
      <c r="R521" s="2">
        <v>0</v>
      </c>
      <c r="S521">
        <v>1</v>
      </c>
      <c r="T521">
        <v>1</v>
      </c>
    </row>
    <row r="522" spans="1:20" x14ac:dyDescent="0.2">
      <c r="A522" t="s">
        <v>1193</v>
      </c>
      <c r="B522" t="s">
        <v>21</v>
      </c>
      <c r="C522" t="s">
        <v>1194</v>
      </c>
      <c r="D522" t="s">
        <v>1195</v>
      </c>
      <c r="E522" t="s">
        <v>94</v>
      </c>
      <c r="F522" t="s">
        <v>25</v>
      </c>
      <c r="G522" t="s">
        <v>95</v>
      </c>
      <c r="H522" t="s">
        <v>1071</v>
      </c>
      <c r="I522" t="s">
        <v>75</v>
      </c>
      <c r="J522" t="s">
        <v>29</v>
      </c>
      <c r="K522" t="s">
        <v>46</v>
      </c>
      <c r="L522" t="s">
        <v>556</v>
      </c>
      <c r="M522" s="1">
        <v>0</v>
      </c>
      <c r="N522">
        <v>0</v>
      </c>
      <c r="O522">
        <v>0</v>
      </c>
      <c r="P522">
        <v>91.25</v>
      </c>
      <c r="Q522">
        <v>1</v>
      </c>
      <c r="R522" s="2">
        <v>0</v>
      </c>
      <c r="S522">
        <v>0</v>
      </c>
      <c r="T522">
        <v>0</v>
      </c>
    </row>
    <row r="523" spans="1:20" x14ac:dyDescent="0.2">
      <c r="A523" t="s">
        <v>1210</v>
      </c>
      <c r="B523" t="s">
        <v>21</v>
      </c>
      <c r="C523" t="s">
        <v>1211</v>
      </c>
      <c r="D523" t="s">
        <v>1212</v>
      </c>
      <c r="E523" t="s">
        <v>94</v>
      </c>
      <c r="F523" t="s">
        <v>25</v>
      </c>
      <c r="G523" t="s">
        <v>95</v>
      </c>
      <c r="H523" t="s">
        <v>1071</v>
      </c>
      <c r="I523" t="s">
        <v>75</v>
      </c>
      <c r="J523" t="s">
        <v>29</v>
      </c>
      <c r="K523" t="s">
        <v>46</v>
      </c>
      <c r="L523" t="s">
        <v>556</v>
      </c>
      <c r="M523" s="1">
        <v>0</v>
      </c>
      <c r="N523">
        <v>0</v>
      </c>
      <c r="O523">
        <v>0</v>
      </c>
      <c r="P523">
        <v>91.25</v>
      </c>
      <c r="Q523">
        <v>1</v>
      </c>
      <c r="R523" s="2">
        <v>0</v>
      </c>
      <c r="S523">
        <v>0</v>
      </c>
      <c r="T523">
        <v>0</v>
      </c>
    </row>
    <row r="524" spans="1:20" x14ac:dyDescent="0.2">
      <c r="A524" t="s">
        <v>917</v>
      </c>
      <c r="B524" t="s">
        <v>158</v>
      </c>
      <c r="C524" t="s">
        <v>1227</v>
      </c>
      <c r="D524" t="s">
        <v>1228</v>
      </c>
      <c r="E524" t="s">
        <v>94</v>
      </c>
      <c r="F524" t="s">
        <v>25</v>
      </c>
      <c r="G524" t="s">
        <v>95</v>
      </c>
      <c r="H524" t="s">
        <v>1071</v>
      </c>
      <c r="I524" t="s">
        <v>75</v>
      </c>
      <c r="J524" t="s">
        <v>29</v>
      </c>
      <c r="K524" t="s">
        <v>46</v>
      </c>
      <c r="L524" t="s">
        <v>38</v>
      </c>
      <c r="M524" s="1">
        <v>0</v>
      </c>
      <c r="N524">
        <v>0</v>
      </c>
      <c r="O524">
        <v>0</v>
      </c>
      <c r="P524">
        <v>91.25</v>
      </c>
      <c r="Q524">
        <v>0</v>
      </c>
      <c r="R524" s="2">
        <v>0</v>
      </c>
      <c r="S524">
        <v>1</v>
      </c>
      <c r="T524">
        <v>1</v>
      </c>
    </row>
    <row r="525" spans="1:20" x14ac:dyDescent="0.2">
      <c r="A525" t="s">
        <v>1275</v>
      </c>
      <c r="B525" t="s">
        <v>158</v>
      </c>
      <c r="C525" t="s">
        <v>1276</v>
      </c>
      <c r="D525" t="s">
        <v>707</v>
      </c>
      <c r="E525" t="s">
        <v>94</v>
      </c>
      <c r="F525" t="s">
        <v>25</v>
      </c>
      <c r="G525" t="s">
        <v>95</v>
      </c>
      <c r="H525" t="s">
        <v>1071</v>
      </c>
      <c r="I525" t="s">
        <v>75</v>
      </c>
      <c r="J525" t="s">
        <v>29</v>
      </c>
      <c r="K525" t="s">
        <v>46</v>
      </c>
      <c r="L525" t="s">
        <v>556</v>
      </c>
      <c r="M525" s="1">
        <v>0</v>
      </c>
      <c r="N525">
        <v>0</v>
      </c>
      <c r="O525">
        <v>0</v>
      </c>
      <c r="P525">
        <v>91.25</v>
      </c>
      <c r="Q525">
        <v>1</v>
      </c>
      <c r="R525" s="2">
        <v>0</v>
      </c>
      <c r="S525">
        <v>0</v>
      </c>
      <c r="T525">
        <v>0</v>
      </c>
    </row>
    <row r="526" spans="1:20" x14ac:dyDescent="0.2">
      <c r="A526" t="s">
        <v>1287</v>
      </c>
      <c r="B526" t="s">
        <v>158</v>
      </c>
      <c r="C526" t="s">
        <v>1288</v>
      </c>
      <c r="D526" t="s">
        <v>1289</v>
      </c>
      <c r="E526" t="s">
        <v>94</v>
      </c>
      <c r="F526" t="s">
        <v>25</v>
      </c>
      <c r="G526" t="s">
        <v>95</v>
      </c>
      <c r="H526" t="s">
        <v>1071</v>
      </c>
      <c r="I526" t="s">
        <v>75</v>
      </c>
      <c r="J526" t="s">
        <v>29</v>
      </c>
      <c r="K526" t="s">
        <v>46</v>
      </c>
      <c r="L526" t="s">
        <v>31</v>
      </c>
      <c r="M526" s="1">
        <v>61329.51</v>
      </c>
      <c r="N526">
        <v>1</v>
      </c>
      <c r="O526">
        <v>1</v>
      </c>
      <c r="P526">
        <v>91.25</v>
      </c>
      <c r="Q526">
        <v>0</v>
      </c>
      <c r="R526" s="2">
        <v>1</v>
      </c>
      <c r="S526">
        <v>0</v>
      </c>
      <c r="T526">
        <v>0</v>
      </c>
    </row>
    <row r="527" spans="1:20" x14ac:dyDescent="0.2">
      <c r="A527" t="s">
        <v>859</v>
      </c>
      <c r="B527" t="s">
        <v>158</v>
      </c>
      <c r="C527" t="s">
        <v>1301</v>
      </c>
      <c r="D527" t="s">
        <v>1302</v>
      </c>
      <c r="E527" t="s">
        <v>94</v>
      </c>
      <c r="F527" t="s">
        <v>25</v>
      </c>
      <c r="G527" t="s">
        <v>95</v>
      </c>
      <c r="H527" t="s">
        <v>1071</v>
      </c>
      <c r="I527" t="s">
        <v>75</v>
      </c>
      <c r="J527" t="s">
        <v>29</v>
      </c>
      <c r="K527" t="s">
        <v>46</v>
      </c>
      <c r="L527" t="s">
        <v>556</v>
      </c>
      <c r="M527" s="1">
        <v>0</v>
      </c>
      <c r="N527">
        <v>0</v>
      </c>
      <c r="O527">
        <v>0</v>
      </c>
      <c r="P527">
        <v>91.25</v>
      </c>
      <c r="Q527">
        <v>1</v>
      </c>
      <c r="R527" s="2">
        <v>0</v>
      </c>
      <c r="S527">
        <v>0</v>
      </c>
      <c r="T527">
        <v>0</v>
      </c>
    </row>
    <row r="528" spans="1:20" x14ac:dyDescent="0.2">
      <c r="A528" t="s">
        <v>661</v>
      </c>
      <c r="B528" t="s">
        <v>158</v>
      </c>
      <c r="C528" t="s">
        <v>1305</v>
      </c>
      <c r="D528" t="s">
        <v>1306</v>
      </c>
      <c r="E528" t="s">
        <v>94</v>
      </c>
      <c r="F528" t="s">
        <v>25</v>
      </c>
      <c r="G528" t="s">
        <v>95</v>
      </c>
      <c r="H528" t="s">
        <v>1071</v>
      </c>
      <c r="I528" t="s">
        <v>75</v>
      </c>
      <c r="J528" t="s">
        <v>29</v>
      </c>
      <c r="K528" t="s">
        <v>46</v>
      </c>
      <c r="L528" t="s">
        <v>556</v>
      </c>
      <c r="M528" s="1">
        <v>0</v>
      </c>
      <c r="N528">
        <v>0</v>
      </c>
      <c r="O528">
        <v>0</v>
      </c>
      <c r="P528">
        <v>91.25</v>
      </c>
      <c r="Q528">
        <v>1</v>
      </c>
      <c r="R528" s="2">
        <v>0</v>
      </c>
      <c r="S528">
        <v>0</v>
      </c>
      <c r="T528">
        <v>0</v>
      </c>
    </row>
    <row r="529" spans="1:20" x14ac:dyDescent="0.2">
      <c r="A529" t="s">
        <v>1311</v>
      </c>
      <c r="B529" t="s">
        <v>158</v>
      </c>
      <c r="C529" t="s">
        <v>1312</v>
      </c>
      <c r="D529" t="s">
        <v>1313</v>
      </c>
      <c r="E529" t="s">
        <v>94</v>
      </c>
      <c r="F529" t="s">
        <v>25</v>
      </c>
      <c r="G529" t="s">
        <v>95</v>
      </c>
      <c r="H529" t="s">
        <v>1071</v>
      </c>
      <c r="I529" t="s">
        <v>75</v>
      </c>
      <c r="J529" t="s">
        <v>29</v>
      </c>
      <c r="K529" t="s">
        <v>46</v>
      </c>
      <c r="L529" t="s">
        <v>556</v>
      </c>
      <c r="M529" s="1">
        <v>0</v>
      </c>
      <c r="N529">
        <v>0</v>
      </c>
      <c r="O529">
        <v>0</v>
      </c>
      <c r="P529">
        <v>91.25</v>
      </c>
      <c r="Q529">
        <v>1</v>
      </c>
      <c r="R529" s="2">
        <v>0</v>
      </c>
      <c r="S529">
        <v>0</v>
      </c>
      <c r="T529">
        <v>0</v>
      </c>
    </row>
    <row r="530" spans="1:20" x14ac:dyDescent="0.2">
      <c r="A530" t="s">
        <v>1495</v>
      </c>
      <c r="B530" t="s">
        <v>158</v>
      </c>
      <c r="C530" t="s">
        <v>1496</v>
      </c>
      <c r="D530" t="s">
        <v>1497</v>
      </c>
      <c r="E530" t="s">
        <v>94</v>
      </c>
      <c r="F530" t="s">
        <v>25</v>
      </c>
      <c r="G530" t="s">
        <v>95</v>
      </c>
      <c r="H530" t="s">
        <v>1410</v>
      </c>
      <c r="I530" t="s">
        <v>75</v>
      </c>
      <c r="J530" t="s">
        <v>29</v>
      </c>
      <c r="K530" t="s">
        <v>46</v>
      </c>
      <c r="L530" t="s">
        <v>31</v>
      </c>
      <c r="M530" s="1">
        <v>0</v>
      </c>
      <c r="N530">
        <v>1</v>
      </c>
      <c r="O530">
        <v>1</v>
      </c>
      <c r="P530">
        <v>91.25</v>
      </c>
      <c r="Q530">
        <v>0</v>
      </c>
      <c r="R530" s="2">
        <v>1</v>
      </c>
      <c r="S530">
        <v>0</v>
      </c>
      <c r="T530">
        <v>0</v>
      </c>
    </row>
    <row r="531" spans="1:20" x14ac:dyDescent="0.2">
      <c r="A531" t="s">
        <v>333</v>
      </c>
      <c r="B531" t="s">
        <v>158</v>
      </c>
      <c r="C531" t="s">
        <v>1536</v>
      </c>
      <c r="D531" t="s">
        <v>1537</v>
      </c>
      <c r="E531" t="s">
        <v>94</v>
      </c>
      <c r="F531" t="s">
        <v>58</v>
      </c>
      <c r="G531" t="s">
        <v>95</v>
      </c>
      <c r="H531" t="s">
        <v>1410</v>
      </c>
      <c r="I531" t="s">
        <v>75</v>
      </c>
      <c r="J531" t="s">
        <v>29</v>
      </c>
      <c r="K531" t="s">
        <v>46</v>
      </c>
      <c r="L531" t="s">
        <v>556</v>
      </c>
      <c r="M531" s="1">
        <v>0</v>
      </c>
      <c r="N531">
        <v>0</v>
      </c>
      <c r="O531">
        <v>0</v>
      </c>
      <c r="P531">
        <v>91.25</v>
      </c>
      <c r="Q531">
        <v>1</v>
      </c>
      <c r="R531" s="2">
        <v>0</v>
      </c>
      <c r="S531">
        <v>0</v>
      </c>
      <c r="T531">
        <v>0</v>
      </c>
    </row>
    <row r="532" spans="1:20" x14ac:dyDescent="0.2">
      <c r="A532" t="s">
        <v>146</v>
      </c>
      <c r="B532" t="s">
        <v>21</v>
      </c>
      <c r="C532" t="s">
        <v>777</v>
      </c>
      <c r="D532" t="s">
        <v>778</v>
      </c>
      <c r="E532" t="s">
        <v>779</v>
      </c>
      <c r="F532" t="s">
        <v>25</v>
      </c>
      <c r="G532" t="s">
        <v>780</v>
      </c>
      <c r="H532" t="s">
        <v>748</v>
      </c>
      <c r="I532" t="s">
        <v>781</v>
      </c>
      <c r="J532" t="s">
        <v>29</v>
      </c>
      <c r="K532" t="s">
        <v>46</v>
      </c>
      <c r="L532" t="s">
        <v>31</v>
      </c>
      <c r="M532" s="1">
        <v>0</v>
      </c>
      <c r="N532">
        <v>1</v>
      </c>
      <c r="O532">
        <v>1</v>
      </c>
      <c r="P532">
        <v>91.25</v>
      </c>
      <c r="Q532">
        <v>0</v>
      </c>
      <c r="R532" s="2">
        <v>1</v>
      </c>
      <c r="S532">
        <v>0</v>
      </c>
      <c r="T532">
        <v>0</v>
      </c>
    </row>
    <row r="533" spans="1:20" x14ac:dyDescent="0.2">
      <c r="A533" t="s">
        <v>348</v>
      </c>
      <c r="B533" t="s">
        <v>21</v>
      </c>
      <c r="C533" t="s">
        <v>349</v>
      </c>
      <c r="D533" t="s">
        <v>350</v>
      </c>
      <c r="E533" t="s">
        <v>351</v>
      </c>
      <c r="F533" t="s">
        <v>25</v>
      </c>
      <c r="G533" t="s">
        <v>352</v>
      </c>
      <c r="H533" t="s">
        <v>319</v>
      </c>
      <c r="I533" t="s">
        <v>353</v>
      </c>
      <c r="J533" t="s">
        <v>45</v>
      </c>
      <c r="K533" t="s">
        <v>46</v>
      </c>
      <c r="L533" t="s">
        <v>31</v>
      </c>
      <c r="M533" s="1">
        <v>180000.43</v>
      </c>
      <c r="N533">
        <v>1</v>
      </c>
      <c r="O533">
        <v>1</v>
      </c>
      <c r="P533">
        <v>91.25</v>
      </c>
      <c r="Q533">
        <v>0</v>
      </c>
      <c r="R533" s="2">
        <v>1</v>
      </c>
      <c r="S533">
        <v>0</v>
      </c>
      <c r="T533">
        <v>0</v>
      </c>
    </row>
    <row r="534" spans="1:20" x14ac:dyDescent="0.2">
      <c r="A534" t="s">
        <v>1331</v>
      </c>
      <c r="B534" t="s">
        <v>250</v>
      </c>
      <c r="C534" t="s">
        <v>1332</v>
      </c>
      <c r="D534" t="s">
        <v>1333</v>
      </c>
      <c r="E534" t="s">
        <v>1334</v>
      </c>
      <c r="F534" t="s">
        <v>25</v>
      </c>
      <c r="G534" t="s">
        <v>1335</v>
      </c>
      <c r="H534" t="s">
        <v>1071</v>
      </c>
      <c r="I534" t="s">
        <v>28</v>
      </c>
      <c r="J534" t="s">
        <v>29</v>
      </c>
      <c r="K534" t="s">
        <v>46</v>
      </c>
      <c r="L534" t="s">
        <v>38</v>
      </c>
      <c r="M534" s="1">
        <v>0</v>
      </c>
      <c r="N534">
        <v>0</v>
      </c>
      <c r="O534">
        <v>0</v>
      </c>
      <c r="P534">
        <v>91.25</v>
      </c>
      <c r="Q534">
        <v>0</v>
      </c>
      <c r="R534" s="2">
        <v>0</v>
      </c>
      <c r="S534">
        <v>1</v>
      </c>
      <c r="T534">
        <v>1</v>
      </c>
    </row>
    <row r="535" spans="1:20" x14ac:dyDescent="0.2">
      <c r="A535" t="s">
        <v>20</v>
      </c>
      <c r="B535" t="s">
        <v>250</v>
      </c>
      <c r="C535" t="s">
        <v>1338</v>
      </c>
      <c r="D535" t="s">
        <v>1339</v>
      </c>
      <c r="E535" t="s">
        <v>1334</v>
      </c>
      <c r="F535" t="s">
        <v>25</v>
      </c>
      <c r="G535" t="s">
        <v>1335</v>
      </c>
      <c r="H535" t="s">
        <v>1071</v>
      </c>
      <c r="I535" t="s">
        <v>28</v>
      </c>
      <c r="J535" t="s">
        <v>29</v>
      </c>
      <c r="K535" t="s">
        <v>46</v>
      </c>
      <c r="L535" t="s">
        <v>31</v>
      </c>
      <c r="M535" s="1">
        <v>39847.440000000002</v>
      </c>
      <c r="N535">
        <v>1</v>
      </c>
      <c r="O535">
        <v>1</v>
      </c>
      <c r="P535">
        <v>91.25</v>
      </c>
      <c r="Q535">
        <v>0</v>
      </c>
      <c r="R535" s="2">
        <v>1</v>
      </c>
      <c r="S535">
        <v>0</v>
      </c>
      <c r="T535">
        <v>0</v>
      </c>
    </row>
    <row r="536" spans="1:20" x14ac:dyDescent="0.2">
      <c r="A536" t="s">
        <v>547</v>
      </c>
      <c r="B536" t="s">
        <v>21</v>
      </c>
      <c r="C536" t="s">
        <v>1428</v>
      </c>
      <c r="D536" t="s">
        <v>1429</v>
      </c>
      <c r="E536" t="s">
        <v>1334</v>
      </c>
      <c r="F536" t="s">
        <v>25</v>
      </c>
      <c r="G536" t="s">
        <v>1335</v>
      </c>
      <c r="H536" t="s">
        <v>1410</v>
      </c>
      <c r="I536" t="s">
        <v>28</v>
      </c>
      <c r="J536" t="s">
        <v>29</v>
      </c>
      <c r="K536" t="s">
        <v>46</v>
      </c>
      <c r="L536" t="s">
        <v>556</v>
      </c>
      <c r="M536" s="1">
        <v>0</v>
      </c>
      <c r="N536">
        <v>0</v>
      </c>
      <c r="O536">
        <v>0</v>
      </c>
      <c r="P536">
        <v>91.25</v>
      </c>
      <c r="Q536">
        <v>1</v>
      </c>
      <c r="R536" s="2">
        <v>0</v>
      </c>
      <c r="S536">
        <v>0</v>
      </c>
      <c r="T536">
        <v>0</v>
      </c>
    </row>
    <row r="537" spans="1:20" x14ac:dyDescent="0.2">
      <c r="A537" t="s">
        <v>502</v>
      </c>
      <c r="B537" t="s">
        <v>250</v>
      </c>
      <c r="C537" t="s">
        <v>505</v>
      </c>
      <c r="D537" t="s">
        <v>506</v>
      </c>
      <c r="E537" t="s">
        <v>132</v>
      </c>
      <c r="F537" t="s">
        <v>25</v>
      </c>
      <c r="G537" t="s">
        <v>133</v>
      </c>
      <c r="H537" t="s">
        <v>319</v>
      </c>
      <c r="I537" t="s">
        <v>507</v>
      </c>
      <c r="J537" t="s">
        <v>29</v>
      </c>
      <c r="K537" t="s">
        <v>46</v>
      </c>
      <c r="L537" t="s">
        <v>38</v>
      </c>
      <c r="M537" s="1">
        <v>0</v>
      </c>
      <c r="N537">
        <v>0</v>
      </c>
      <c r="O537">
        <v>0</v>
      </c>
      <c r="P537">
        <v>91.25</v>
      </c>
      <c r="Q537">
        <v>0</v>
      </c>
      <c r="R537" s="2">
        <v>0</v>
      </c>
      <c r="S537">
        <v>1</v>
      </c>
      <c r="T537">
        <v>1</v>
      </c>
    </row>
    <row r="538" spans="1:20" x14ac:dyDescent="0.2">
      <c r="A538" t="s">
        <v>39</v>
      </c>
      <c r="B538" t="s">
        <v>21</v>
      </c>
      <c r="C538" t="s">
        <v>812</v>
      </c>
      <c r="D538" t="s">
        <v>813</v>
      </c>
      <c r="E538" t="s">
        <v>132</v>
      </c>
      <c r="F538" t="s">
        <v>25</v>
      </c>
      <c r="G538" t="s">
        <v>133</v>
      </c>
      <c r="H538" t="s">
        <v>748</v>
      </c>
      <c r="I538" t="s">
        <v>507</v>
      </c>
      <c r="J538" t="s">
        <v>29</v>
      </c>
      <c r="K538" t="s">
        <v>46</v>
      </c>
      <c r="L538" t="s">
        <v>38</v>
      </c>
      <c r="M538" s="1">
        <v>0</v>
      </c>
      <c r="N538">
        <v>0</v>
      </c>
      <c r="O538">
        <v>0</v>
      </c>
      <c r="P538">
        <v>91.25</v>
      </c>
      <c r="Q538">
        <v>0</v>
      </c>
      <c r="R538" s="2">
        <v>0</v>
      </c>
      <c r="S538">
        <v>1</v>
      </c>
      <c r="T538">
        <v>1</v>
      </c>
    </row>
    <row r="539" spans="1:20" x14ac:dyDescent="0.2">
      <c r="A539" t="s">
        <v>20</v>
      </c>
      <c r="B539" t="s">
        <v>250</v>
      </c>
      <c r="C539" t="s">
        <v>987</v>
      </c>
      <c r="D539" t="s">
        <v>988</v>
      </c>
      <c r="E539" t="s">
        <v>132</v>
      </c>
      <c r="F539" t="s">
        <v>25</v>
      </c>
      <c r="G539" t="s">
        <v>133</v>
      </c>
      <c r="H539" t="s">
        <v>748</v>
      </c>
      <c r="I539" t="s">
        <v>507</v>
      </c>
      <c r="J539" t="s">
        <v>29</v>
      </c>
      <c r="K539" t="s">
        <v>46</v>
      </c>
      <c r="L539" t="s">
        <v>38</v>
      </c>
      <c r="M539" s="1">
        <v>0</v>
      </c>
      <c r="N539">
        <v>0</v>
      </c>
      <c r="O539">
        <v>0</v>
      </c>
      <c r="P539">
        <v>91.25</v>
      </c>
      <c r="Q539">
        <v>0</v>
      </c>
      <c r="R539" s="2">
        <v>0</v>
      </c>
      <c r="S539">
        <v>1</v>
      </c>
      <c r="T539">
        <v>1</v>
      </c>
    </row>
    <row r="540" spans="1:20" x14ac:dyDescent="0.2">
      <c r="A540" t="s">
        <v>222</v>
      </c>
      <c r="B540" t="s">
        <v>158</v>
      </c>
      <c r="C540" t="s">
        <v>1303</v>
      </c>
      <c r="D540" t="s">
        <v>1304</v>
      </c>
      <c r="E540" t="s">
        <v>132</v>
      </c>
      <c r="F540" t="s">
        <v>58</v>
      </c>
      <c r="G540" t="s">
        <v>133</v>
      </c>
      <c r="H540" t="s">
        <v>1071</v>
      </c>
      <c r="I540" t="s">
        <v>507</v>
      </c>
      <c r="J540" t="s">
        <v>29</v>
      </c>
      <c r="K540" t="s">
        <v>46</v>
      </c>
      <c r="L540" t="s">
        <v>556</v>
      </c>
      <c r="M540" s="1">
        <v>0</v>
      </c>
      <c r="N540">
        <v>0</v>
      </c>
      <c r="O540">
        <v>0</v>
      </c>
      <c r="P540">
        <v>91.25</v>
      </c>
      <c r="Q540">
        <v>1</v>
      </c>
      <c r="R540" s="2">
        <v>0</v>
      </c>
      <c r="S540">
        <v>0</v>
      </c>
      <c r="T540">
        <v>0</v>
      </c>
    </row>
    <row r="541" spans="1:20" x14ac:dyDescent="0.2">
      <c r="A541" t="s">
        <v>731</v>
      </c>
      <c r="B541" t="s">
        <v>262</v>
      </c>
      <c r="C541" t="s">
        <v>1303</v>
      </c>
      <c r="D541" t="s">
        <v>1304</v>
      </c>
      <c r="E541" t="s">
        <v>132</v>
      </c>
      <c r="F541" t="s">
        <v>25</v>
      </c>
      <c r="G541" t="s">
        <v>133</v>
      </c>
      <c r="H541" t="s">
        <v>1071</v>
      </c>
      <c r="I541" t="s">
        <v>507</v>
      </c>
      <c r="J541" t="s">
        <v>29</v>
      </c>
      <c r="K541" t="s">
        <v>46</v>
      </c>
      <c r="L541" t="s">
        <v>556</v>
      </c>
      <c r="M541" s="1">
        <v>0</v>
      </c>
      <c r="N541">
        <v>0</v>
      </c>
      <c r="O541">
        <v>0</v>
      </c>
      <c r="P541">
        <v>91.25</v>
      </c>
      <c r="Q541">
        <v>1</v>
      </c>
      <c r="R541" s="2">
        <v>0</v>
      </c>
      <c r="S541">
        <v>0</v>
      </c>
      <c r="T541">
        <v>0</v>
      </c>
    </row>
    <row r="542" spans="1:20" x14ac:dyDescent="0.2">
      <c r="A542" t="s">
        <v>1062</v>
      </c>
      <c r="B542" t="s">
        <v>262</v>
      </c>
      <c r="C542" t="s">
        <v>1405</v>
      </c>
      <c r="D542" t="s">
        <v>1406</v>
      </c>
      <c r="E542" t="s">
        <v>132</v>
      </c>
      <c r="F542" t="s">
        <v>25</v>
      </c>
      <c r="G542" t="s">
        <v>133</v>
      </c>
      <c r="H542" t="s">
        <v>1071</v>
      </c>
      <c r="I542" t="s">
        <v>1407</v>
      </c>
      <c r="J542" t="s">
        <v>29</v>
      </c>
      <c r="K542" t="s">
        <v>46</v>
      </c>
      <c r="L542" t="s">
        <v>556</v>
      </c>
      <c r="M542" s="1">
        <v>0</v>
      </c>
      <c r="N542">
        <v>0</v>
      </c>
      <c r="O542">
        <v>0</v>
      </c>
      <c r="P542">
        <v>91.25</v>
      </c>
      <c r="Q542">
        <v>1</v>
      </c>
      <c r="R542" s="2">
        <v>0</v>
      </c>
      <c r="S542">
        <v>0</v>
      </c>
      <c r="T542">
        <v>0</v>
      </c>
    </row>
    <row r="543" spans="1:20" x14ac:dyDescent="0.2">
      <c r="A543" t="s">
        <v>400</v>
      </c>
      <c r="B543" t="s">
        <v>21</v>
      </c>
      <c r="C543" t="s">
        <v>401</v>
      </c>
      <c r="D543" t="s">
        <v>402</v>
      </c>
      <c r="E543" t="s">
        <v>132</v>
      </c>
      <c r="F543" t="s">
        <v>25</v>
      </c>
      <c r="G543" t="s">
        <v>133</v>
      </c>
      <c r="H543" t="s">
        <v>319</v>
      </c>
      <c r="I543" t="s">
        <v>403</v>
      </c>
      <c r="J543" t="s">
        <v>29</v>
      </c>
      <c r="K543" t="s">
        <v>46</v>
      </c>
      <c r="L543" t="s">
        <v>38</v>
      </c>
      <c r="M543" s="1">
        <v>0</v>
      </c>
      <c r="N543">
        <v>0</v>
      </c>
      <c r="O543">
        <v>0</v>
      </c>
      <c r="P543">
        <v>91.25</v>
      </c>
      <c r="Q543">
        <v>0</v>
      </c>
      <c r="R543" s="2">
        <v>0</v>
      </c>
      <c r="S543">
        <v>1</v>
      </c>
      <c r="T543">
        <v>1</v>
      </c>
    </row>
    <row r="544" spans="1:20" x14ac:dyDescent="0.2">
      <c r="A544" t="s">
        <v>731</v>
      </c>
      <c r="B544" t="s">
        <v>262</v>
      </c>
      <c r="C544" t="s">
        <v>732</v>
      </c>
      <c r="D544" t="s">
        <v>733</v>
      </c>
      <c r="E544" t="s">
        <v>132</v>
      </c>
      <c r="F544" t="s">
        <v>25</v>
      </c>
      <c r="G544" t="s">
        <v>133</v>
      </c>
      <c r="H544" t="s">
        <v>550</v>
      </c>
      <c r="I544" t="s">
        <v>403</v>
      </c>
      <c r="J544" t="s">
        <v>29</v>
      </c>
      <c r="K544" t="s">
        <v>46</v>
      </c>
      <c r="L544" t="s">
        <v>38</v>
      </c>
      <c r="M544" s="1">
        <v>0</v>
      </c>
      <c r="N544">
        <v>0</v>
      </c>
      <c r="O544">
        <v>0</v>
      </c>
      <c r="P544">
        <v>91.25</v>
      </c>
      <c r="Q544">
        <v>0</v>
      </c>
      <c r="R544" s="2">
        <v>0</v>
      </c>
      <c r="S544">
        <v>1</v>
      </c>
      <c r="T544">
        <v>1</v>
      </c>
    </row>
    <row r="545" spans="1:20" x14ac:dyDescent="0.2">
      <c r="A545" t="s">
        <v>1142</v>
      </c>
      <c r="B545" t="s">
        <v>21</v>
      </c>
      <c r="C545" t="s">
        <v>1143</v>
      </c>
      <c r="D545" t="s">
        <v>1144</v>
      </c>
      <c r="E545" t="s">
        <v>132</v>
      </c>
      <c r="F545" t="s">
        <v>25</v>
      </c>
      <c r="G545" t="s">
        <v>133</v>
      </c>
      <c r="H545" t="s">
        <v>1071</v>
      </c>
      <c r="I545" t="s">
        <v>403</v>
      </c>
      <c r="J545" t="s">
        <v>29</v>
      </c>
      <c r="K545" t="s">
        <v>46</v>
      </c>
      <c r="L545" t="s">
        <v>556</v>
      </c>
      <c r="M545" s="1">
        <v>0</v>
      </c>
      <c r="N545">
        <v>0</v>
      </c>
      <c r="O545">
        <v>0</v>
      </c>
      <c r="P545">
        <v>91.25</v>
      </c>
      <c r="Q545">
        <v>1</v>
      </c>
      <c r="R545" s="2">
        <v>0</v>
      </c>
      <c r="S545">
        <v>0</v>
      </c>
      <c r="T545">
        <v>0</v>
      </c>
    </row>
    <row r="546" spans="1:20" x14ac:dyDescent="0.2">
      <c r="A546" t="s">
        <v>705</v>
      </c>
      <c r="B546" t="s">
        <v>262</v>
      </c>
      <c r="C546" t="s">
        <v>1403</v>
      </c>
      <c r="D546" t="s">
        <v>1404</v>
      </c>
      <c r="E546" t="s">
        <v>132</v>
      </c>
      <c r="F546" t="s">
        <v>25</v>
      </c>
      <c r="G546" t="s">
        <v>133</v>
      </c>
      <c r="H546" t="s">
        <v>1071</v>
      </c>
      <c r="I546" t="s">
        <v>403</v>
      </c>
      <c r="J546" t="s">
        <v>29</v>
      </c>
      <c r="K546" t="s">
        <v>46</v>
      </c>
      <c r="L546" t="s">
        <v>556</v>
      </c>
      <c r="M546" s="1">
        <v>0</v>
      </c>
      <c r="N546">
        <v>0</v>
      </c>
      <c r="O546">
        <v>0</v>
      </c>
      <c r="P546">
        <v>91.25</v>
      </c>
      <c r="Q546">
        <v>1</v>
      </c>
      <c r="R546" s="2">
        <v>0</v>
      </c>
      <c r="S546">
        <v>0</v>
      </c>
      <c r="T546">
        <v>0</v>
      </c>
    </row>
    <row r="547" spans="1:20" x14ac:dyDescent="0.2">
      <c r="A547" t="s">
        <v>838</v>
      </c>
      <c r="B547" t="s">
        <v>21</v>
      </c>
      <c r="C547" t="s">
        <v>1111</v>
      </c>
      <c r="D547" t="s">
        <v>1112</v>
      </c>
      <c r="E547" t="s">
        <v>132</v>
      </c>
      <c r="F547" t="s">
        <v>25</v>
      </c>
      <c r="G547" t="s">
        <v>133</v>
      </c>
      <c r="H547" t="s">
        <v>1071</v>
      </c>
      <c r="I547" t="s">
        <v>1113</v>
      </c>
      <c r="J547" t="s">
        <v>29</v>
      </c>
      <c r="K547" t="s">
        <v>46</v>
      </c>
      <c r="L547" t="s">
        <v>38</v>
      </c>
      <c r="M547" s="1">
        <v>0</v>
      </c>
      <c r="N547">
        <v>0</v>
      </c>
      <c r="O547">
        <v>0</v>
      </c>
      <c r="P547">
        <v>91.25</v>
      </c>
      <c r="Q547">
        <v>0</v>
      </c>
      <c r="R547" s="2">
        <v>0</v>
      </c>
      <c r="S547">
        <v>1</v>
      </c>
      <c r="T547">
        <v>1</v>
      </c>
    </row>
    <row r="548" spans="1:20" x14ac:dyDescent="0.2">
      <c r="A548" t="s">
        <v>91</v>
      </c>
      <c r="B548" t="s">
        <v>21</v>
      </c>
      <c r="C548" t="s">
        <v>1188</v>
      </c>
      <c r="D548" t="s">
        <v>1189</v>
      </c>
      <c r="E548" t="s">
        <v>132</v>
      </c>
      <c r="F548" t="s">
        <v>58</v>
      </c>
      <c r="G548" t="s">
        <v>133</v>
      </c>
      <c r="H548" t="s">
        <v>1071</v>
      </c>
      <c r="I548" t="s">
        <v>1113</v>
      </c>
      <c r="J548" t="s">
        <v>29</v>
      </c>
      <c r="K548" t="s">
        <v>46</v>
      </c>
      <c r="L548" t="s">
        <v>556</v>
      </c>
      <c r="M548" s="1">
        <v>0</v>
      </c>
      <c r="N548">
        <v>0</v>
      </c>
      <c r="O548">
        <v>0</v>
      </c>
      <c r="P548">
        <v>91.25</v>
      </c>
      <c r="Q548">
        <v>1</v>
      </c>
      <c r="R548" s="2">
        <v>0</v>
      </c>
      <c r="S548">
        <v>0</v>
      </c>
      <c r="T548">
        <v>0</v>
      </c>
    </row>
    <row r="549" spans="1:20" x14ac:dyDescent="0.2">
      <c r="A549" t="s">
        <v>1331</v>
      </c>
      <c r="B549" t="s">
        <v>250</v>
      </c>
      <c r="C549" t="s">
        <v>1353</v>
      </c>
      <c r="D549" t="s">
        <v>1354</v>
      </c>
      <c r="E549" t="s">
        <v>132</v>
      </c>
      <c r="F549" t="s">
        <v>25</v>
      </c>
      <c r="G549" t="s">
        <v>133</v>
      </c>
      <c r="H549" t="s">
        <v>1071</v>
      </c>
      <c r="I549" t="s">
        <v>1113</v>
      </c>
      <c r="J549" t="s">
        <v>29</v>
      </c>
      <c r="K549" t="s">
        <v>46</v>
      </c>
      <c r="L549" t="s">
        <v>556</v>
      </c>
      <c r="M549" s="1">
        <v>0</v>
      </c>
      <c r="N549">
        <v>0</v>
      </c>
      <c r="O549">
        <v>0</v>
      </c>
      <c r="P549">
        <v>91.25</v>
      </c>
      <c r="Q549">
        <v>1</v>
      </c>
      <c r="R549" s="2">
        <v>0</v>
      </c>
      <c r="S549">
        <v>0</v>
      </c>
      <c r="T549">
        <v>0</v>
      </c>
    </row>
    <row r="550" spans="1:20" x14ac:dyDescent="0.2">
      <c r="A550" t="s">
        <v>333</v>
      </c>
      <c r="B550" t="s">
        <v>158</v>
      </c>
      <c r="C550" t="s">
        <v>1546</v>
      </c>
      <c r="D550" t="s">
        <v>1547</v>
      </c>
      <c r="E550" t="s">
        <v>132</v>
      </c>
      <c r="F550" t="s">
        <v>25</v>
      </c>
      <c r="G550" t="s">
        <v>133</v>
      </c>
      <c r="H550" t="s">
        <v>1410</v>
      </c>
      <c r="I550" t="s">
        <v>1113</v>
      </c>
      <c r="J550" t="s">
        <v>29</v>
      </c>
      <c r="K550" t="s">
        <v>46</v>
      </c>
      <c r="L550" t="s">
        <v>556</v>
      </c>
      <c r="M550" s="1">
        <v>0</v>
      </c>
      <c r="N550">
        <v>0</v>
      </c>
      <c r="O550">
        <v>0</v>
      </c>
      <c r="P550">
        <v>91.25</v>
      </c>
      <c r="Q550">
        <v>1</v>
      </c>
      <c r="R550" s="2">
        <v>0</v>
      </c>
      <c r="S550">
        <v>0</v>
      </c>
      <c r="T550">
        <v>0</v>
      </c>
    </row>
    <row r="551" spans="1:20" x14ac:dyDescent="0.2">
      <c r="A551" t="s">
        <v>373</v>
      </c>
      <c r="B551" t="s">
        <v>21</v>
      </c>
      <c r="C551" t="s">
        <v>374</v>
      </c>
      <c r="D551" t="s">
        <v>375</v>
      </c>
      <c r="E551" t="s">
        <v>132</v>
      </c>
      <c r="F551" t="s">
        <v>25</v>
      </c>
      <c r="G551" t="s">
        <v>133</v>
      </c>
      <c r="H551" t="s">
        <v>319</v>
      </c>
      <c r="I551" t="s">
        <v>376</v>
      </c>
      <c r="J551" t="s">
        <v>45</v>
      </c>
      <c r="K551" t="s">
        <v>46</v>
      </c>
      <c r="L551" t="s">
        <v>38</v>
      </c>
      <c r="M551" s="1">
        <v>0</v>
      </c>
      <c r="N551">
        <v>0</v>
      </c>
      <c r="O551">
        <v>0</v>
      </c>
      <c r="P551">
        <v>91.25</v>
      </c>
      <c r="Q551">
        <v>0</v>
      </c>
      <c r="R551" s="2">
        <v>0</v>
      </c>
      <c r="S551">
        <v>1</v>
      </c>
      <c r="T551">
        <v>1</v>
      </c>
    </row>
    <row r="552" spans="1:20" x14ac:dyDescent="0.2">
      <c r="A552" t="s">
        <v>333</v>
      </c>
      <c r="B552" t="s">
        <v>158</v>
      </c>
      <c r="C552" t="s">
        <v>1269</v>
      </c>
      <c r="D552" t="s">
        <v>1270</v>
      </c>
      <c r="E552" t="s">
        <v>132</v>
      </c>
      <c r="F552" t="s">
        <v>58</v>
      </c>
      <c r="G552" t="s">
        <v>133</v>
      </c>
      <c r="H552" t="s">
        <v>1071</v>
      </c>
      <c r="I552" t="s">
        <v>376</v>
      </c>
      <c r="J552" t="s">
        <v>45</v>
      </c>
      <c r="K552" t="s">
        <v>46</v>
      </c>
      <c r="L552" t="s">
        <v>38</v>
      </c>
      <c r="M552" s="1">
        <v>0</v>
      </c>
      <c r="N552">
        <v>0</v>
      </c>
      <c r="O552">
        <v>0</v>
      </c>
      <c r="P552">
        <v>91.25</v>
      </c>
      <c r="Q552">
        <v>0</v>
      </c>
      <c r="R552" s="2">
        <v>0</v>
      </c>
      <c r="S552">
        <v>1</v>
      </c>
      <c r="T552">
        <v>1</v>
      </c>
    </row>
    <row r="553" spans="1:20" x14ac:dyDescent="0.2">
      <c r="A553" t="s">
        <v>1284</v>
      </c>
      <c r="B553" t="s">
        <v>158</v>
      </c>
      <c r="C553" t="s">
        <v>1285</v>
      </c>
      <c r="D553" t="s">
        <v>1286</v>
      </c>
      <c r="E553" t="s">
        <v>132</v>
      </c>
      <c r="F553" t="s">
        <v>25</v>
      </c>
      <c r="G553" t="s">
        <v>133</v>
      </c>
      <c r="H553" t="s">
        <v>1071</v>
      </c>
      <c r="I553" t="s">
        <v>376</v>
      </c>
      <c r="J553" t="s">
        <v>45</v>
      </c>
      <c r="K553" t="s">
        <v>46</v>
      </c>
      <c r="L553" t="s">
        <v>556</v>
      </c>
      <c r="M553" s="1">
        <v>0</v>
      </c>
      <c r="N553">
        <v>0</v>
      </c>
      <c r="O553">
        <v>0</v>
      </c>
      <c r="P553">
        <v>91.25</v>
      </c>
      <c r="Q553">
        <v>1</v>
      </c>
      <c r="R553" s="2">
        <v>0</v>
      </c>
      <c r="S553">
        <v>0</v>
      </c>
      <c r="T553">
        <v>0</v>
      </c>
    </row>
    <row r="554" spans="1:20" x14ac:dyDescent="0.2">
      <c r="A554" t="s">
        <v>1380</v>
      </c>
      <c r="B554" t="s">
        <v>262</v>
      </c>
      <c r="C554" t="s">
        <v>1269</v>
      </c>
      <c r="D554" t="s">
        <v>1270</v>
      </c>
      <c r="E554" t="s">
        <v>132</v>
      </c>
      <c r="F554" t="s">
        <v>58</v>
      </c>
      <c r="G554" t="s">
        <v>133</v>
      </c>
      <c r="H554" t="s">
        <v>1071</v>
      </c>
      <c r="I554" t="s">
        <v>376</v>
      </c>
      <c r="J554" t="s">
        <v>45</v>
      </c>
      <c r="K554" t="s">
        <v>46</v>
      </c>
      <c r="L554" t="s">
        <v>38</v>
      </c>
      <c r="M554" s="1">
        <v>0</v>
      </c>
      <c r="N554">
        <v>0</v>
      </c>
      <c r="O554">
        <v>0</v>
      </c>
      <c r="P554">
        <v>91.25</v>
      </c>
      <c r="Q554">
        <v>0</v>
      </c>
      <c r="R554" s="2">
        <v>0</v>
      </c>
      <c r="S554">
        <v>1</v>
      </c>
      <c r="T554">
        <v>1</v>
      </c>
    </row>
    <row r="555" spans="1:20" x14ac:dyDescent="0.2">
      <c r="A555" t="s">
        <v>104</v>
      </c>
      <c r="B555" t="s">
        <v>21</v>
      </c>
      <c r="C555" t="s">
        <v>130</v>
      </c>
      <c r="D555" t="s">
        <v>131</v>
      </c>
      <c r="E555" t="s">
        <v>132</v>
      </c>
      <c r="F555" t="s">
        <v>25</v>
      </c>
      <c r="G555" t="s">
        <v>133</v>
      </c>
      <c r="H555" t="s">
        <v>27</v>
      </c>
      <c r="I555" t="s">
        <v>75</v>
      </c>
      <c r="J555" t="s">
        <v>29</v>
      </c>
      <c r="K555" t="s">
        <v>46</v>
      </c>
      <c r="L555" t="s">
        <v>134</v>
      </c>
      <c r="M555" s="1">
        <v>0</v>
      </c>
      <c r="N555">
        <v>0</v>
      </c>
      <c r="O555">
        <v>0</v>
      </c>
      <c r="P555">
        <v>91.25</v>
      </c>
      <c r="Q555">
        <v>0</v>
      </c>
      <c r="R555" s="2">
        <v>0</v>
      </c>
      <c r="S555">
        <v>1</v>
      </c>
      <c r="T555">
        <v>1</v>
      </c>
    </row>
    <row r="556" spans="1:20" x14ac:dyDescent="0.2">
      <c r="A556" t="s">
        <v>135</v>
      </c>
      <c r="B556" t="s">
        <v>21</v>
      </c>
      <c r="C556" t="s">
        <v>136</v>
      </c>
      <c r="D556" t="s">
        <v>137</v>
      </c>
      <c r="E556" t="s">
        <v>132</v>
      </c>
      <c r="F556" t="s">
        <v>25</v>
      </c>
      <c r="G556" t="s">
        <v>133</v>
      </c>
      <c r="H556" t="s">
        <v>27</v>
      </c>
      <c r="I556" t="s">
        <v>75</v>
      </c>
      <c r="J556" t="s">
        <v>29</v>
      </c>
      <c r="K556" t="s">
        <v>46</v>
      </c>
      <c r="L556" t="s">
        <v>31</v>
      </c>
      <c r="M556" s="1">
        <v>14328</v>
      </c>
      <c r="N556">
        <v>1</v>
      </c>
      <c r="O556">
        <v>1</v>
      </c>
      <c r="P556">
        <v>91.25</v>
      </c>
      <c r="Q556">
        <v>0</v>
      </c>
      <c r="R556" s="2">
        <v>1</v>
      </c>
      <c r="S556">
        <v>0</v>
      </c>
      <c r="T556">
        <v>0</v>
      </c>
    </row>
    <row r="557" spans="1:20" x14ac:dyDescent="0.2">
      <c r="A557" t="s">
        <v>333</v>
      </c>
      <c r="B557" t="s">
        <v>21</v>
      </c>
      <c r="C557" t="s">
        <v>334</v>
      </c>
      <c r="D557" t="s">
        <v>335</v>
      </c>
      <c r="E557" t="s">
        <v>132</v>
      </c>
      <c r="F557" t="s">
        <v>25</v>
      </c>
      <c r="G557" t="s">
        <v>133</v>
      </c>
      <c r="H557" t="s">
        <v>319</v>
      </c>
      <c r="I557" t="s">
        <v>75</v>
      </c>
      <c r="J557" t="s">
        <v>29</v>
      </c>
      <c r="K557" t="s">
        <v>30</v>
      </c>
      <c r="L557" t="s">
        <v>38</v>
      </c>
      <c r="M557" s="1">
        <v>0</v>
      </c>
      <c r="N557">
        <v>0</v>
      </c>
      <c r="O557">
        <v>0</v>
      </c>
      <c r="P557">
        <v>91.25</v>
      </c>
      <c r="Q557">
        <v>0</v>
      </c>
      <c r="R557" s="2">
        <v>0</v>
      </c>
      <c r="S557">
        <v>1</v>
      </c>
      <c r="T557">
        <v>1</v>
      </c>
    </row>
    <row r="558" spans="1:20" x14ac:dyDescent="0.2">
      <c r="A558" t="s">
        <v>342</v>
      </c>
      <c r="B558" t="s">
        <v>21</v>
      </c>
      <c r="C558" t="s">
        <v>343</v>
      </c>
      <c r="D558" t="s">
        <v>344</v>
      </c>
      <c r="E558" t="s">
        <v>132</v>
      </c>
      <c r="F558" t="s">
        <v>25</v>
      </c>
      <c r="G558" t="s">
        <v>133</v>
      </c>
      <c r="H558" t="s">
        <v>319</v>
      </c>
      <c r="I558" t="s">
        <v>75</v>
      </c>
      <c r="J558" t="s">
        <v>29</v>
      </c>
      <c r="K558" t="s">
        <v>46</v>
      </c>
      <c r="L558" t="s">
        <v>38</v>
      </c>
      <c r="M558" s="1">
        <v>0</v>
      </c>
      <c r="N558">
        <v>0</v>
      </c>
      <c r="O558">
        <v>0</v>
      </c>
      <c r="P558">
        <v>91.25</v>
      </c>
      <c r="Q558">
        <v>0</v>
      </c>
      <c r="R558" s="2">
        <v>0</v>
      </c>
      <c r="S558">
        <v>1</v>
      </c>
      <c r="T558">
        <v>1</v>
      </c>
    </row>
    <row r="559" spans="1:20" x14ac:dyDescent="0.2">
      <c r="A559" t="s">
        <v>571</v>
      </c>
      <c r="B559" t="s">
        <v>21</v>
      </c>
      <c r="C559" t="s">
        <v>572</v>
      </c>
      <c r="D559" t="s">
        <v>573</v>
      </c>
      <c r="E559" t="s">
        <v>132</v>
      </c>
      <c r="F559" t="s">
        <v>58</v>
      </c>
      <c r="G559" t="s">
        <v>133</v>
      </c>
      <c r="H559" t="s">
        <v>550</v>
      </c>
      <c r="I559" t="s">
        <v>75</v>
      </c>
      <c r="J559" t="s">
        <v>29</v>
      </c>
      <c r="K559" t="s">
        <v>46</v>
      </c>
      <c r="L559" t="s">
        <v>31</v>
      </c>
      <c r="M559" s="1">
        <v>145134.63</v>
      </c>
      <c r="N559">
        <v>1</v>
      </c>
      <c r="O559">
        <v>1</v>
      </c>
      <c r="P559">
        <v>91.25</v>
      </c>
      <c r="Q559">
        <v>0</v>
      </c>
      <c r="R559" s="2">
        <v>1</v>
      </c>
      <c r="S559">
        <v>0</v>
      </c>
      <c r="T559">
        <v>0</v>
      </c>
    </row>
    <row r="560" spans="1:20" x14ac:dyDescent="0.2">
      <c r="A560" t="s">
        <v>571</v>
      </c>
      <c r="B560" t="s">
        <v>21</v>
      </c>
      <c r="C560" t="s">
        <v>613</v>
      </c>
      <c r="D560" t="s">
        <v>614</v>
      </c>
      <c r="E560" t="s">
        <v>132</v>
      </c>
      <c r="F560" t="s">
        <v>58</v>
      </c>
      <c r="G560" t="s">
        <v>133</v>
      </c>
      <c r="H560" t="s">
        <v>550</v>
      </c>
      <c r="I560" t="s">
        <v>75</v>
      </c>
      <c r="J560" t="s">
        <v>29</v>
      </c>
      <c r="K560" t="s">
        <v>46</v>
      </c>
      <c r="L560" t="s">
        <v>38</v>
      </c>
      <c r="M560" s="1">
        <v>0</v>
      </c>
      <c r="N560">
        <v>0</v>
      </c>
      <c r="O560">
        <v>0</v>
      </c>
      <c r="P560">
        <v>91.25</v>
      </c>
      <c r="Q560">
        <v>0</v>
      </c>
      <c r="R560" s="2">
        <v>0</v>
      </c>
      <c r="S560">
        <v>1</v>
      </c>
      <c r="T560">
        <v>1</v>
      </c>
    </row>
    <row r="561" spans="1:20" x14ac:dyDescent="0.2">
      <c r="A561" t="s">
        <v>222</v>
      </c>
      <c r="B561" t="s">
        <v>158</v>
      </c>
      <c r="C561" t="s">
        <v>572</v>
      </c>
      <c r="D561" t="s">
        <v>573</v>
      </c>
      <c r="E561" t="s">
        <v>132</v>
      </c>
      <c r="F561" t="s">
        <v>58</v>
      </c>
      <c r="G561" t="s">
        <v>133</v>
      </c>
      <c r="H561" t="s">
        <v>550</v>
      </c>
      <c r="I561" t="s">
        <v>75</v>
      </c>
      <c r="J561" t="s">
        <v>29</v>
      </c>
      <c r="K561" t="s">
        <v>46</v>
      </c>
      <c r="L561" t="s">
        <v>31</v>
      </c>
      <c r="M561" s="1">
        <v>48443.63</v>
      </c>
      <c r="N561">
        <v>1</v>
      </c>
      <c r="O561">
        <v>1</v>
      </c>
      <c r="P561">
        <v>91.25</v>
      </c>
      <c r="Q561">
        <v>0</v>
      </c>
      <c r="R561" s="2">
        <v>1</v>
      </c>
      <c r="S561">
        <v>0</v>
      </c>
      <c r="T561">
        <v>0</v>
      </c>
    </row>
    <row r="562" spans="1:20" x14ac:dyDescent="0.2">
      <c r="A562" t="s">
        <v>222</v>
      </c>
      <c r="B562" t="s">
        <v>158</v>
      </c>
      <c r="C562" t="s">
        <v>613</v>
      </c>
      <c r="D562" t="s">
        <v>614</v>
      </c>
      <c r="E562" t="s">
        <v>132</v>
      </c>
      <c r="F562" t="s">
        <v>58</v>
      </c>
      <c r="G562" t="s">
        <v>133</v>
      </c>
      <c r="H562" t="s">
        <v>550</v>
      </c>
      <c r="I562" t="s">
        <v>75</v>
      </c>
      <c r="J562" t="s">
        <v>29</v>
      </c>
      <c r="K562" t="s">
        <v>46</v>
      </c>
      <c r="L562" t="s">
        <v>38</v>
      </c>
      <c r="M562" s="1">
        <v>0</v>
      </c>
      <c r="N562">
        <v>0</v>
      </c>
      <c r="O562">
        <v>0</v>
      </c>
      <c r="P562">
        <v>91.25</v>
      </c>
      <c r="Q562">
        <v>0</v>
      </c>
      <c r="R562" s="2">
        <v>0</v>
      </c>
      <c r="S562">
        <v>1</v>
      </c>
      <c r="T562">
        <v>1</v>
      </c>
    </row>
    <row r="563" spans="1:20" x14ac:dyDescent="0.2">
      <c r="A563" t="s">
        <v>705</v>
      </c>
      <c r="B563" t="s">
        <v>262</v>
      </c>
      <c r="C563" t="s">
        <v>572</v>
      </c>
      <c r="D563" t="s">
        <v>573</v>
      </c>
      <c r="E563" t="s">
        <v>132</v>
      </c>
      <c r="F563" t="s">
        <v>58</v>
      </c>
      <c r="G563" t="s">
        <v>133</v>
      </c>
      <c r="H563" t="s">
        <v>550</v>
      </c>
      <c r="I563" t="s">
        <v>75</v>
      </c>
      <c r="J563" t="s">
        <v>29</v>
      </c>
      <c r="K563" t="s">
        <v>46</v>
      </c>
      <c r="L563" t="s">
        <v>31</v>
      </c>
      <c r="M563" s="1">
        <v>185371.83</v>
      </c>
      <c r="N563">
        <v>1</v>
      </c>
      <c r="O563">
        <v>1</v>
      </c>
      <c r="P563">
        <v>91.25</v>
      </c>
      <c r="Q563">
        <v>0</v>
      </c>
      <c r="R563" s="2">
        <v>1</v>
      </c>
      <c r="S563">
        <v>0</v>
      </c>
      <c r="T563">
        <v>0</v>
      </c>
    </row>
    <row r="564" spans="1:20" x14ac:dyDescent="0.2">
      <c r="A564" t="s">
        <v>705</v>
      </c>
      <c r="B564" t="s">
        <v>262</v>
      </c>
      <c r="C564" t="s">
        <v>613</v>
      </c>
      <c r="D564" t="s">
        <v>614</v>
      </c>
      <c r="E564" t="s">
        <v>132</v>
      </c>
      <c r="F564" t="s">
        <v>58</v>
      </c>
      <c r="G564" t="s">
        <v>133</v>
      </c>
      <c r="H564" t="s">
        <v>550</v>
      </c>
      <c r="I564" t="s">
        <v>75</v>
      </c>
      <c r="J564" t="s">
        <v>29</v>
      </c>
      <c r="K564" t="s">
        <v>46</v>
      </c>
      <c r="L564" t="s">
        <v>38</v>
      </c>
      <c r="M564" s="1">
        <v>0</v>
      </c>
      <c r="N564">
        <v>0</v>
      </c>
      <c r="O564">
        <v>0</v>
      </c>
      <c r="P564">
        <v>91.25</v>
      </c>
      <c r="Q564">
        <v>0</v>
      </c>
      <c r="R564" s="2">
        <v>0</v>
      </c>
      <c r="S564">
        <v>1</v>
      </c>
      <c r="T564">
        <v>1</v>
      </c>
    </row>
    <row r="565" spans="1:20" x14ac:dyDescent="0.2">
      <c r="A565" t="s">
        <v>832</v>
      </c>
      <c r="B565" t="s">
        <v>21</v>
      </c>
      <c r="C565" t="s">
        <v>833</v>
      </c>
      <c r="D565" t="s">
        <v>834</v>
      </c>
      <c r="E565" t="s">
        <v>132</v>
      </c>
      <c r="F565" t="s">
        <v>25</v>
      </c>
      <c r="G565" t="s">
        <v>133</v>
      </c>
      <c r="H565" t="s">
        <v>748</v>
      </c>
      <c r="I565" t="s">
        <v>75</v>
      </c>
      <c r="J565" t="s">
        <v>29</v>
      </c>
      <c r="K565" t="s">
        <v>46</v>
      </c>
      <c r="L565" t="s">
        <v>38</v>
      </c>
      <c r="M565" s="1">
        <v>0</v>
      </c>
      <c r="N565">
        <v>0</v>
      </c>
      <c r="O565">
        <v>0</v>
      </c>
      <c r="P565">
        <v>91.25</v>
      </c>
      <c r="Q565">
        <v>0</v>
      </c>
      <c r="R565" s="2">
        <v>0</v>
      </c>
      <c r="S565">
        <v>1</v>
      </c>
      <c r="T565">
        <v>1</v>
      </c>
    </row>
    <row r="566" spans="1:20" x14ac:dyDescent="0.2">
      <c r="A566" t="s">
        <v>782</v>
      </c>
      <c r="B566" t="s">
        <v>21</v>
      </c>
      <c r="C566" t="s">
        <v>841</v>
      </c>
      <c r="D566" t="s">
        <v>842</v>
      </c>
      <c r="E566" t="s">
        <v>132</v>
      </c>
      <c r="F566" t="s">
        <v>25</v>
      </c>
      <c r="G566" t="s">
        <v>133</v>
      </c>
      <c r="H566" t="s">
        <v>748</v>
      </c>
      <c r="I566" t="s">
        <v>75</v>
      </c>
      <c r="J566" t="s">
        <v>29</v>
      </c>
      <c r="K566" t="s">
        <v>46</v>
      </c>
      <c r="L566" t="s">
        <v>38</v>
      </c>
      <c r="M566" s="1">
        <v>0</v>
      </c>
      <c r="N566">
        <v>0</v>
      </c>
      <c r="O566">
        <v>0</v>
      </c>
      <c r="P566">
        <v>91.25</v>
      </c>
      <c r="Q566">
        <v>0</v>
      </c>
      <c r="R566" s="2">
        <v>0</v>
      </c>
      <c r="S566">
        <v>1</v>
      </c>
      <c r="T566">
        <v>1</v>
      </c>
    </row>
    <row r="567" spans="1:20" x14ac:dyDescent="0.2">
      <c r="A567" t="s">
        <v>333</v>
      </c>
      <c r="B567" t="s">
        <v>158</v>
      </c>
      <c r="C567" t="s">
        <v>930</v>
      </c>
      <c r="D567" t="s">
        <v>931</v>
      </c>
      <c r="E567" t="s">
        <v>132</v>
      </c>
      <c r="F567" t="s">
        <v>58</v>
      </c>
      <c r="G567" t="s">
        <v>133</v>
      </c>
      <c r="H567" t="s">
        <v>748</v>
      </c>
      <c r="I567" t="s">
        <v>75</v>
      </c>
      <c r="J567" t="s">
        <v>29</v>
      </c>
      <c r="K567" t="s">
        <v>46</v>
      </c>
      <c r="L567" t="s">
        <v>31</v>
      </c>
      <c r="M567" s="1">
        <v>212474.2</v>
      </c>
      <c r="N567">
        <v>1</v>
      </c>
      <c r="O567">
        <v>1</v>
      </c>
      <c r="P567">
        <v>91.25</v>
      </c>
      <c r="Q567">
        <v>0</v>
      </c>
      <c r="R567" s="2">
        <v>1</v>
      </c>
      <c r="S567">
        <v>0</v>
      </c>
      <c r="T567">
        <v>0</v>
      </c>
    </row>
    <row r="568" spans="1:20" x14ac:dyDescent="0.2">
      <c r="A568" t="s">
        <v>741</v>
      </c>
      <c r="B568" t="s">
        <v>262</v>
      </c>
      <c r="C568" t="s">
        <v>1038</v>
      </c>
      <c r="D568" t="s">
        <v>1039</v>
      </c>
      <c r="E568" t="s">
        <v>132</v>
      </c>
      <c r="F568" t="s">
        <v>25</v>
      </c>
      <c r="G568" t="s">
        <v>133</v>
      </c>
      <c r="H568" t="s">
        <v>748</v>
      </c>
      <c r="I568" t="s">
        <v>75</v>
      </c>
      <c r="J568" t="s">
        <v>29</v>
      </c>
      <c r="K568" t="s">
        <v>46</v>
      </c>
      <c r="L568" t="s">
        <v>31</v>
      </c>
      <c r="M568" s="1">
        <v>270443.49</v>
      </c>
      <c r="N568">
        <v>1</v>
      </c>
      <c r="O568">
        <v>1</v>
      </c>
      <c r="P568">
        <v>91.25</v>
      </c>
      <c r="Q568">
        <v>0</v>
      </c>
      <c r="R568" s="2">
        <v>1</v>
      </c>
      <c r="S568">
        <v>0</v>
      </c>
      <c r="T568">
        <v>0</v>
      </c>
    </row>
    <row r="569" spans="1:20" x14ac:dyDescent="0.2">
      <c r="A569" t="s">
        <v>1059</v>
      </c>
      <c r="B569" t="s">
        <v>262</v>
      </c>
      <c r="C569" t="s">
        <v>1060</v>
      </c>
      <c r="D569" t="s">
        <v>1061</v>
      </c>
      <c r="E569" t="s">
        <v>132</v>
      </c>
      <c r="F569" t="s">
        <v>25</v>
      </c>
      <c r="G569" t="s">
        <v>133</v>
      </c>
      <c r="H569" t="s">
        <v>748</v>
      </c>
      <c r="I569" t="s">
        <v>75</v>
      </c>
      <c r="J569" t="s">
        <v>29</v>
      </c>
      <c r="K569" t="s">
        <v>46</v>
      </c>
      <c r="L569" t="s">
        <v>38</v>
      </c>
      <c r="M569" s="1">
        <v>0</v>
      </c>
      <c r="N569">
        <v>0</v>
      </c>
      <c r="O569">
        <v>0</v>
      </c>
      <c r="P569">
        <v>91.25</v>
      </c>
      <c r="Q569">
        <v>0</v>
      </c>
      <c r="R569" s="2">
        <v>0</v>
      </c>
      <c r="S569">
        <v>1</v>
      </c>
      <c r="T569">
        <v>1</v>
      </c>
    </row>
    <row r="570" spans="1:20" x14ac:dyDescent="0.2">
      <c r="A570" t="s">
        <v>1062</v>
      </c>
      <c r="B570" t="s">
        <v>262</v>
      </c>
      <c r="C570" t="s">
        <v>1063</v>
      </c>
      <c r="D570" t="s">
        <v>1064</v>
      </c>
      <c r="E570" t="s">
        <v>132</v>
      </c>
      <c r="F570" t="s">
        <v>25</v>
      </c>
      <c r="G570" t="s">
        <v>133</v>
      </c>
      <c r="H570" t="s">
        <v>748</v>
      </c>
      <c r="I570" t="s">
        <v>75</v>
      </c>
      <c r="J570" t="s">
        <v>29</v>
      </c>
      <c r="K570" t="s">
        <v>46</v>
      </c>
      <c r="L570" t="s">
        <v>38</v>
      </c>
      <c r="M570" s="1">
        <v>0</v>
      </c>
      <c r="N570">
        <v>0</v>
      </c>
      <c r="O570">
        <v>0</v>
      </c>
      <c r="P570">
        <v>91.25</v>
      </c>
      <c r="Q570">
        <v>0</v>
      </c>
      <c r="R570" s="2">
        <v>0</v>
      </c>
      <c r="S570">
        <v>1</v>
      </c>
      <c r="T570">
        <v>1</v>
      </c>
    </row>
    <row r="571" spans="1:20" x14ac:dyDescent="0.2">
      <c r="A571" t="s">
        <v>333</v>
      </c>
      <c r="B571" t="s">
        <v>158</v>
      </c>
      <c r="C571" t="s">
        <v>1307</v>
      </c>
      <c r="D571" t="s">
        <v>1308</v>
      </c>
      <c r="E571" t="s">
        <v>132</v>
      </c>
      <c r="F571" t="s">
        <v>25</v>
      </c>
      <c r="G571" t="s">
        <v>133</v>
      </c>
      <c r="H571" t="s">
        <v>1071</v>
      </c>
      <c r="I571" t="s">
        <v>75</v>
      </c>
      <c r="J571" t="s">
        <v>29</v>
      </c>
      <c r="K571" t="s">
        <v>46</v>
      </c>
      <c r="L571" t="s">
        <v>38</v>
      </c>
      <c r="M571" s="1">
        <v>0</v>
      </c>
      <c r="N571">
        <v>0</v>
      </c>
      <c r="O571">
        <v>0</v>
      </c>
      <c r="P571">
        <v>91.25</v>
      </c>
      <c r="Q571">
        <v>0</v>
      </c>
      <c r="R571" s="2">
        <v>0</v>
      </c>
      <c r="S571">
        <v>1</v>
      </c>
      <c r="T571">
        <v>1</v>
      </c>
    </row>
    <row r="572" spans="1:20" x14ac:dyDescent="0.2">
      <c r="A572" t="s">
        <v>333</v>
      </c>
      <c r="B572" t="s">
        <v>158</v>
      </c>
      <c r="C572" t="s">
        <v>1309</v>
      </c>
      <c r="D572" t="s">
        <v>1310</v>
      </c>
      <c r="E572" t="s">
        <v>132</v>
      </c>
      <c r="F572" t="s">
        <v>25</v>
      </c>
      <c r="G572" t="s">
        <v>133</v>
      </c>
      <c r="H572" t="s">
        <v>1071</v>
      </c>
      <c r="I572" t="s">
        <v>75</v>
      </c>
      <c r="J572" t="s">
        <v>29</v>
      </c>
      <c r="K572" t="s">
        <v>46</v>
      </c>
      <c r="L572" t="s">
        <v>31</v>
      </c>
      <c r="M572" s="1">
        <v>0</v>
      </c>
      <c r="N572">
        <v>1</v>
      </c>
      <c r="O572">
        <v>1</v>
      </c>
      <c r="P572">
        <v>91.25</v>
      </c>
      <c r="Q572">
        <v>0</v>
      </c>
      <c r="R572" s="2">
        <v>1</v>
      </c>
      <c r="S572">
        <v>0</v>
      </c>
      <c r="T572">
        <v>0</v>
      </c>
    </row>
    <row r="573" spans="1:20" x14ac:dyDescent="0.2">
      <c r="A573" t="s">
        <v>354</v>
      </c>
      <c r="B573" t="s">
        <v>21</v>
      </c>
      <c r="C573" t="s">
        <v>355</v>
      </c>
      <c r="D573" t="s">
        <v>356</v>
      </c>
      <c r="E573" t="s">
        <v>132</v>
      </c>
      <c r="F573" t="s">
        <v>25</v>
      </c>
      <c r="G573" t="s">
        <v>133</v>
      </c>
      <c r="H573" t="s">
        <v>319</v>
      </c>
      <c r="I573" t="s">
        <v>357</v>
      </c>
      <c r="J573" t="s">
        <v>29</v>
      </c>
      <c r="K573" t="s">
        <v>46</v>
      </c>
      <c r="L573" t="s">
        <v>38</v>
      </c>
      <c r="M573" s="1">
        <v>0</v>
      </c>
      <c r="N573">
        <v>0</v>
      </c>
      <c r="O573">
        <v>0</v>
      </c>
      <c r="P573">
        <v>91.25</v>
      </c>
      <c r="Q573">
        <v>0</v>
      </c>
      <c r="R573" s="2">
        <v>0</v>
      </c>
      <c r="S573">
        <v>1</v>
      </c>
      <c r="T573">
        <v>1</v>
      </c>
    </row>
    <row r="574" spans="1:20" x14ac:dyDescent="0.2">
      <c r="A574" t="s">
        <v>83</v>
      </c>
      <c r="B574" t="s">
        <v>21</v>
      </c>
      <c r="C574" t="s">
        <v>84</v>
      </c>
      <c r="D574" t="s">
        <v>85</v>
      </c>
      <c r="E574" t="s">
        <v>86</v>
      </c>
      <c r="F574" t="s">
        <v>58</v>
      </c>
      <c r="G574" t="s">
        <v>87</v>
      </c>
      <c r="H574" t="s">
        <v>27</v>
      </c>
      <c r="I574" t="s">
        <v>88</v>
      </c>
      <c r="J574" t="s">
        <v>29</v>
      </c>
      <c r="K574" t="s">
        <v>46</v>
      </c>
      <c r="L574" t="s">
        <v>31</v>
      </c>
      <c r="M574" s="1">
        <v>9325.0300000000007</v>
      </c>
      <c r="N574">
        <v>1</v>
      </c>
      <c r="O574">
        <v>1</v>
      </c>
      <c r="P574">
        <v>91.25</v>
      </c>
      <c r="Q574">
        <v>0</v>
      </c>
      <c r="R574" s="2">
        <v>1</v>
      </c>
      <c r="S574">
        <v>0</v>
      </c>
      <c r="T574">
        <v>0</v>
      </c>
    </row>
    <row r="575" spans="1:20" x14ac:dyDescent="0.2">
      <c r="A575" t="s">
        <v>265</v>
      </c>
      <c r="B575" t="s">
        <v>262</v>
      </c>
      <c r="C575" t="s">
        <v>1044</v>
      </c>
      <c r="D575" t="s">
        <v>1045</v>
      </c>
      <c r="E575" t="s">
        <v>1046</v>
      </c>
      <c r="F575" t="s">
        <v>25</v>
      </c>
      <c r="G575" t="s">
        <v>1047</v>
      </c>
      <c r="H575" t="s">
        <v>748</v>
      </c>
      <c r="I575" t="s">
        <v>28</v>
      </c>
      <c r="J575" t="s">
        <v>29</v>
      </c>
      <c r="K575" t="s">
        <v>46</v>
      </c>
      <c r="L575" t="s">
        <v>31</v>
      </c>
      <c r="M575" s="1">
        <v>566667.06999999995</v>
      </c>
      <c r="N575">
        <v>1</v>
      </c>
      <c r="O575">
        <v>1</v>
      </c>
      <c r="P575">
        <v>91.25</v>
      </c>
      <c r="Q575">
        <v>0</v>
      </c>
      <c r="R575" s="2">
        <v>1</v>
      </c>
      <c r="S575">
        <v>0</v>
      </c>
      <c r="T575">
        <v>0</v>
      </c>
    </row>
    <row r="576" spans="1:20" x14ac:dyDescent="0.2">
      <c r="A576" t="s">
        <v>157</v>
      </c>
      <c r="B576" t="s">
        <v>158</v>
      </c>
      <c r="C576" t="s">
        <v>493</v>
      </c>
      <c r="D576" t="s">
        <v>494</v>
      </c>
      <c r="E576" t="s">
        <v>495</v>
      </c>
      <c r="F576" t="s">
        <v>25</v>
      </c>
      <c r="G576" t="s">
        <v>496</v>
      </c>
      <c r="H576" t="s">
        <v>319</v>
      </c>
      <c r="I576" t="s">
        <v>28</v>
      </c>
      <c r="J576" t="s">
        <v>29</v>
      </c>
      <c r="K576" t="s">
        <v>46</v>
      </c>
      <c r="L576" t="s">
        <v>31</v>
      </c>
      <c r="M576" s="1">
        <v>192008.65</v>
      </c>
      <c r="N576">
        <v>1</v>
      </c>
      <c r="O576">
        <v>1</v>
      </c>
      <c r="P576">
        <v>91.25</v>
      </c>
      <c r="Q576">
        <v>0</v>
      </c>
      <c r="R576" s="2">
        <v>1</v>
      </c>
      <c r="S576">
        <v>0</v>
      </c>
      <c r="T576">
        <v>0</v>
      </c>
    </row>
    <row r="577" spans="1:15" x14ac:dyDescent="0.2">
      <c r="A577" t="s">
        <v>27</v>
      </c>
      <c r="B577" t="s">
        <v>156</v>
      </c>
      <c r="H577">
        <v>31</v>
      </c>
      <c r="M577" s="1">
        <v>3456228.6</v>
      </c>
      <c r="O577">
        <v>8</v>
      </c>
    </row>
    <row r="578" spans="1:15" x14ac:dyDescent="0.2">
      <c r="A578" t="s">
        <v>27</v>
      </c>
      <c r="B578" t="s">
        <v>248</v>
      </c>
      <c r="H578">
        <v>28</v>
      </c>
      <c r="M578" s="1">
        <v>5036071.01</v>
      </c>
      <c r="O578">
        <v>10</v>
      </c>
    </row>
    <row r="579" spans="1:15" x14ac:dyDescent="0.2">
      <c r="A579" t="s">
        <v>27</v>
      </c>
      <c r="B579" t="s">
        <v>260</v>
      </c>
      <c r="H579">
        <v>3</v>
      </c>
      <c r="M579" s="1">
        <v>242504</v>
      </c>
      <c r="O579">
        <v>1</v>
      </c>
    </row>
    <row r="580" spans="1:15" x14ac:dyDescent="0.2">
      <c r="A580" t="s">
        <v>27</v>
      </c>
      <c r="B580" t="s">
        <v>315</v>
      </c>
      <c r="H580">
        <v>19</v>
      </c>
      <c r="M580" s="1">
        <v>8289683.7999999998</v>
      </c>
      <c r="O580">
        <v>10</v>
      </c>
    </row>
    <row r="581" spans="1:15" x14ac:dyDescent="0.2">
      <c r="B581" t="s">
        <v>316</v>
      </c>
      <c r="H581">
        <v>81</v>
      </c>
      <c r="M581" s="1">
        <v>17024487.41</v>
      </c>
      <c r="O581">
        <v>29</v>
      </c>
    </row>
    <row r="583" spans="1:15" x14ac:dyDescent="0.2">
      <c r="A583" t="s">
        <v>319</v>
      </c>
      <c r="B583" t="s">
        <v>156</v>
      </c>
      <c r="H583">
        <v>37</v>
      </c>
      <c r="M583" s="1">
        <v>2625665.6800000002</v>
      </c>
      <c r="O583">
        <v>16</v>
      </c>
    </row>
    <row r="584" spans="1:15" x14ac:dyDescent="0.2">
      <c r="A584" t="s">
        <v>319</v>
      </c>
      <c r="B584" t="s">
        <v>248</v>
      </c>
      <c r="H584">
        <v>22</v>
      </c>
      <c r="M584" s="1">
        <v>3956602.01</v>
      </c>
      <c r="O584">
        <v>11</v>
      </c>
    </row>
    <row r="585" spans="1:15" x14ac:dyDescent="0.2">
      <c r="A585" t="s">
        <v>319</v>
      </c>
      <c r="B585" t="s">
        <v>260</v>
      </c>
      <c r="H585">
        <v>5</v>
      </c>
      <c r="M585" s="1">
        <v>238412</v>
      </c>
      <c r="O585">
        <v>1</v>
      </c>
    </row>
    <row r="586" spans="1:15" x14ac:dyDescent="0.2">
      <c r="A586" t="s">
        <v>319</v>
      </c>
      <c r="B586" t="s">
        <v>315</v>
      </c>
      <c r="H586">
        <v>14</v>
      </c>
      <c r="M586" s="1">
        <v>872327.25</v>
      </c>
      <c r="O586">
        <v>6</v>
      </c>
    </row>
    <row r="587" spans="1:15" x14ac:dyDescent="0.2">
      <c r="B587" t="s">
        <v>316</v>
      </c>
      <c r="H587">
        <v>78</v>
      </c>
      <c r="M587" s="1">
        <v>7693006.9400000004</v>
      </c>
      <c r="O587">
        <v>34</v>
      </c>
    </row>
    <row r="589" spans="1:15" x14ac:dyDescent="0.2">
      <c r="A589" t="s">
        <v>550</v>
      </c>
      <c r="B589" t="s">
        <v>156</v>
      </c>
      <c r="H589">
        <v>27</v>
      </c>
      <c r="M589" s="1">
        <v>1385831.43</v>
      </c>
      <c r="O589">
        <v>8</v>
      </c>
    </row>
    <row r="590" spans="1:15" x14ac:dyDescent="0.2">
      <c r="A590" t="s">
        <v>550</v>
      </c>
      <c r="B590" t="s">
        <v>248</v>
      </c>
      <c r="H590">
        <v>22</v>
      </c>
      <c r="M590" s="1">
        <v>1320352.69</v>
      </c>
      <c r="O590">
        <v>11</v>
      </c>
    </row>
    <row r="591" spans="1:15" x14ac:dyDescent="0.2">
      <c r="A591" t="s">
        <v>550</v>
      </c>
      <c r="B591" t="s">
        <v>260</v>
      </c>
      <c r="H591">
        <v>7</v>
      </c>
      <c r="M591" s="1">
        <v>224916</v>
      </c>
      <c r="O591">
        <v>2</v>
      </c>
    </row>
    <row r="592" spans="1:15" x14ac:dyDescent="0.2">
      <c r="A592" t="s">
        <v>550</v>
      </c>
      <c r="B592" t="s">
        <v>315</v>
      </c>
      <c r="H592">
        <v>22</v>
      </c>
      <c r="M592" s="1">
        <v>1227354.6299999999</v>
      </c>
      <c r="O592">
        <v>10</v>
      </c>
    </row>
    <row r="593" spans="1:15" x14ac:dyDescent="0.2">
      <c r="B593" t="s">
        <v>316</v>
      </c>
      <c r="H593">
        <v>78</v>
      </c>
      <c r="M593" s="1">
        <v>4158454.75</v>
      </c>
      <c r="O593">
        <v>31</v>
      </c>
    </row>
    <row r="595" spans="1:15" x14ac:dyDescent="0.2">
      <c r="A595" t="s">
        <v>748</v>
      </c>
      <c r="B595" t="s">
        <v>156</v>
      </c>
      <c r="H595">
        <v>39</v>
      </c>
      <c r="M595" s="1">
        <v>1609732.19</v>
      </c>
      <c r="O595">
        <v>9</v>
      </c>
    </row>
    <row r="596" spans="1:15" x14ac:dyDescent="0.2">
      <c r="A596" t="s">
        <v>748</v>
      </c>
      <c r="B596" t="s">
        <v>248</v>
      </c>
      <c r="H596">
        <v>45</v>
      </c>
      <c r="M596" s="1">
        <v>1960023.12</v>
      </c>
      <c r="O596">
        <v>13</v>
      </c>
    </row>
    <row r="597" spans="1:15" x14ac:dyDescent="0.2">
      <c r="A597" t="s">
        <v>748</v>
      </c>
      <c r="B597" t="s">
        <v>260</v>
      </c>
      <c r="H597">
        <v>14</v>
      </c>
      <c r="M597" s="1">
        <v>278336.25</v>
      </c>
      <c r="O597">
        <v>2</v>
      </c>
    </row>
    <row r="598" spans="1:15" x14ac:dyDescent="0.2">
      <c r="A598" t="s">
        <v>748</v>
      </c>
      <c r="B598" t="s">
        <v>315</v>
      </c>
      <c r="H598">
        <v>31</v>
      </c>
      <c r="M598" s="1">
        <v>1291705.3400000001</v>
      </c>
      <c r="O598">
        <v>11</v>
      </c>
    </row>
    <row r="599" spans="1:15" x14ac:dyDescent="0.2">
      <c r="B599" t="s">
        <v>316</v>
      </c>
      <c r="H599">
        <v>129</v>
      </c>
      <c r="M599" s="1">
        <v>5139796.9000000004</v>
      </c>
      <c r="O599">
        <v>35</v>
      </c>
    </row>
    <row r="601" spans="1:15" x14ac:dyDescent="0.2">
      <c r="A601" t="s">
        <v>1071</v>
      </c>
      <c r="B601" t="s">
        <v>156</v>
      </c>
      <c r="H601">
        <v>52</v>
      </c>
      <c r="M601" s="1">
        <v>1354281.94</v>
      </c>
      <c r="O601">
        <v>8</v>
      </c>
    </row>
    <row r="602" spans="1:15" x14ac:dyDescent="0.2">
      <c r="A602" t="s">
        <v>1071</v>
      </c>
      <c r="B602" t="s">
        <v>248</v>
      </c>
      <c r="H602">
        <v>46</v>
      </c>
      <c r="M602" s="1">
        <v>1002319.23</v>
      </c>
      <c r="O602">
        <v>8</v>
      </c>
    </row>
    <row r="603" spans="1:15" x14ac:dyDescent="0.2">
      <c r="A603" t="s">
        <v>1071</v>
      </c>
      <c r="B603" t="s">
        <v>260</v>
      </c>
      <c r="H603">
        <v>11</v>
      </c>
      <c r="M603" s="1">
        <v>254474.89</v>
      </c>
      <c r="O603">
        <v>2</v>
      </c>
    </row>
    <row r="604" spans="1:15" x14ac:dyDescent="0.2">
      <c r="A604" t="s">
        <v>1071</v>
      </c>
      <c r="B604" t="s">
        <v>315</v>
      </c>
      <c r="H604">
        <v>24</v>
      </c>
      <c r="M604" s="1">
        <v>492498.11</v>
      </c>
      <c r="O604">
        <v>3</v>
      </c>
    </row>
    <row r="605" spans="1:15" x14ac:dyDescent="0.2">
      <c r="B605" t="s">
        <v>316</v>
      </c>
      <c r="H605">
        <v>133</v>
      </c>
      <c r="M605" s="1">
        <v>3103574.17</v>
      </c>
      <c r="O605">
        <v>21</v>
      </c>
    </row>
    <row r="607" spans="1:15" x14ac:dyDescent="0.2">
      <c r="A607" t="s">
        <v>1410</v>
      </c>
      <c r="B607" t="s">
        <v>156</v>
      </c>
      <c r="H607">
        <v>28</v>
      </c>
    </row>
    <row r="608" spans="1:15" x14ac:dyDescent="0.2">
      <c r="A608" t="s">
        <v>1410</v>
      </c>
      <c r="B608" t="s">
        <v>248</v>
      </c>
      <c r="H608">
        <v>31</v>
      </c>
    </row>
    <row r="609" spans="1:8" x14ac:dyDescent="0.2">
      <c r="A609" t="s">
        <v>1410</v>
      </c>
      <c r="B609" t="s">
        <v>260</v>
      </c>
      <c r="H609">
        <v>2</v>
      </c>
    </row>
    <row r="610" spans="1:8" x14ac:dyDescent="0.2">
      <c r="A610" t="s">
        <v>1410</v>
      </c>
      <c r="B610" t="s">
        <v>315</v>
      </c>
      <c r="H610">
        <v>10</v>
      </c>
    </row>
    <row r="611" spans="1:8" x14ac:dyDescent="0.2">
      <c r="B611" t="s">
        <v>316</v>
      </c>
      <c r="H611">
        <v>71</v>
      </c>
    </row>
  </sheetData>
  <autoFilter ref="E1:E611" xr:uid="{00000000-0001-0000-0000-000000000000}">
    <sortState xmlns:xlrd2="http://schemas.microsoft.com/office/spreadsheetml/2017/richdata2" ref="A2:T611">
      <sortCondition ref="E1:E61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D4614-8D29-6845-8B18-85989A2A1B26}">
  <dimension ref="A1:T63"/>
  <sheetViews>
    <sheetView workbookViewId="0">
      <selection activeCell="H63" sqref="H1:H63"/>
    </sheetView>
  </sheetViews>
  <sheetFormatPr baseColWidth="10" defaultRowHeight="15" x14ac:dyDescent="0.2"/>
  <cols>
    <col min="2" max="2" width="5.6640625" customWidth="1"/>
    <col min="6" max="6" width="17.6640625" customWidth="1"/>
    <col min="7" max="7" width="6.5" customWidth="1"/>
    <col min="12" max="12" width="16.83203125" customWidth="1"/>
    <col min="13" max="13" width="17.5" customWidth="1"/>
  </cols>
  <sheetData>
    <row r="1" spans="1:20" x14ac:dyDescent="0.2">
      <c r="A1" t="s">
        <v>32</v>
      </c>
      <c r="B1" t="s">
        <v>21</v>
      </c>
      <c r="C1" t="s">
        <v>73</v>
      </c>
      <c r="D1" t="s">
        <v>74</v>
      </c>
      <c r="E1" t="s">
        <v>35</v>
      </c>
      <c r="F1" t="s">
        <v>25</v>
      </c>
      <c r="G1" t="s">
        <v>36</v>
      </c>
      <c r="H1" t="s">
        <v>27</v>
      </c>
      <c r="I1" t="s">
        <v>75</v>
      </c>
      <c r="J1" t="s">
        <v>29</v>
      </c>
      <c r="K1" t="s">
        <v>46</v>
      </c>
      <c r="L1" t="s">
        <v>38</v>
      </c>
      <c r="M1" s="1">
        <v>0</v>
      </c>
      <c r="N1">
        <v>0</v>
      </c>
      <c r="O1">
        <v>0</v>
      </c>
      <c r="P1">
        <v>91.25</v>
      </c>
      <c r="Q1">
        <v>0</v>
      </c>
      <c r="R1" s="2">
        <v>0</v>
      </c>
      <c r="S1">
        <v>1</v>
      </c>
      <c r="T1">
        <v>1</v>
      </c>
    </row>
    <row r="2" spans="1:20" x14ac:dyDescent="0.2">
      <c r="A2" t="s">
        <v>32</v>
      </c>
      <c r="B2" t="s">
        <v>21</v>
      </c>
      <c r="C2" t="s">
        <v>89</v>
      </c>
      <c r="D2" t="s">
        <v>90</v>
      </c>
      <c r="E2" t="s">
        <v>35</v>
      </c>
      <c r="F2" t="s">
        <v>25</v>
      </c>
      <c r="G2" t="s">
        <v>36</v>
      </c>
      <c r="H2" t="s">
        <v>27</v>
      </c>
      <c r="I2" t="s">
        <v>75</v>
      </c>
      <c r="J2" t="s">
        <v>29</v>
      </c>
      <c r="K2" t="s">
        <v>46</v>
      </c>
      <c r="L2" t="s">
        <v>38</v>
      </c>
      <c r="M2" s="1">
        <v>0</v>
      </c>
      <c r="N2">
        <v>0</v>
      </c>
      <c r="O2">
        <v>0</v>
      </c>
      <c r="P2">
        <v>91.25</v>
      </c>
      <c r="Q2">
        <v>0</v>
      </c>
      <c r="R2" s="2">
        <v>0</v>
      </c>
      <c r="S2">
        <v>1</v>
      </c>
      <c r="T2">
        <v>1</v>
      </c>
    </row>
    <row r="3" spans="1:20" x14ac:dyDescent="0.2">
      <c r="A3" t="s">
        <v>96</v>
      </c>
      <c r="B3" t="s">
        <v>21</v>
      </c>
      <c r="C3" t="s">
        <v>97</v>
      </c>
      <c r="D3" t="s">
        <v>90</v>
      </c>
      <c r="E3" t="s">
        <v>35</v>
      </c>
      <c r="F3" t="s">
        <v>25</v>
      </c>
      <c r="G3" t="s">
        <v>36</v>
      </c>
      <c r="H3" t="s">
        <v>27</v>
      </c>
      <c r="I3" t="s">
        <v>75</v>
      </c>
      <c r="J3" t="s">
        <v>29</v>
      </c>
      <c r="K3" t="s">
        <v>46</v>
      </c>
      <c r="L3" t="s">
        <v>38</v>
      </c>
      <c r="M3" s="1">
        <v>0</v>
      </c>
      <c r="N3">
        <v>0</v>
      </c>
      <c r="O3">
        <v>0</v>
      </c>
      <c r="P3">
        <v>91.25</v>
      </c>
      <c r="Q3">
        <v>0</v>
      </c>
      <c r="R3" s="2">
        <v>0</v>
      </c>
      <c r="S3">
        <v>1</v>
      </c>
      <c r="T3">
        <v>1</v>
      </c>
    </row>
    <row r="4" spans="1:20" x14ac:dyDescent="0.2">
      <c r="A4" t="s">
        <v>32</v>
      </c>
      <c r="B4" t="s">
        <v>21</v>
      </c>
      <c r="C4" t="s">
        <v>138</v>
      </c>
      <c r="D4" t="s">
        <v>139</v>
      </c>
      <c r="E4" t="s">
        <v>35</v>
      </c>
      <c r="F4" t="s">
        <v>25</v>
      </c>
      <c r="G4" t="s">
        <v>36</v>
      </c>
      <c r="H4" t="s">
        <v>27</v>
      </c>
      <c r="I4" t="s">
        <v>75</v>
      </c>
      <c r="J4" t="s">
        <v>29</v>
      </c>
      <c r="K4" t="s">
        <v>46</v>
      </c>
      <c r="L4" t="s">
        <v>38</v>
      </c>
      <c r="M4" s="1">
        <v>0</v>
      </c>
      <c r="N4">
        <v>0</v>
      </c>
      <c r="O4">
        <v>0</v>
      </c>
      <c r="P4">
        <v>91.25</v>
      </c>
      <c r="Q4">
        <v>0</v>
      </c>
      <c r="R4" s="2">
        <v>0</v>
      </c>
      <c r="S4">
        <v>1</v>
      </c>
      <c r="T4">
        <v>1</v>
      </c>
    </row>
    <row r="5" spans="1:20" x14ac:dyDescent="0.2">
      <c r="A5" t="s">
        <v>153</v>
      </c>
      <c r="B5" t="s">
        <v>21</v>
      </c>
      <c r="C5" t="s">
        <v>154</v>
      </c>
      <c r="D5" t="s">
        <v>155</v>
      </c>
      <c r="E5" t="s">
        <v>35</v>
      </c>
      <c r="F5" t="s">
        <v>25</v>
      </c>
      <c r="G5" t="s">
        <v>36</v>
      </c>
      <c r="H5" t="s">
        <v>27</v>
      </c>
      <c r="I5" t="s">
        <v>75</v>
      </c>
      <c r="J5" t="s">
        <v>29</v>
      </c>
      <c r="K5" t="s">
        <v>46</v>
      </c>
      <c r="L5" t="s">
        <v>38</v>
      </c>
      <c r="M5" s="1">
        <v>0</v>
      </c>
      <c r="N5">
        <v>0</v>
      </c>
      <c r="O5">
        <v>0</v>
      </c>
      <c r="P5">
        <v>91.25</v>
      </c>
      <c r="Q5">
        <v>0</v>
      </c>
      <c r="R5" s="2">
        <v>0</v>
      </c>
      <c r="S5">
        <v>1</v>
      </c>
      <c r="T5">
        <v>1</v>
      </c>
    </row>
    <row r="6" spans="1:20" x14ac:dyDescent="0.2">
      <c r="A6" t="s">
        <v>186</v>
      </c>
      <c r="B6" t="s">
        <v>158</v>
      </c>
      <c r="C6" t="s">
        <v>187</v>
      </c>
      <c r="D6" t="s">
        <v>188</v>
      </c>
      <c r="E6" t="s">
        <v>35</v>
      </c>
      <c r="F6" t="s">
        <v>25</v>
      </c>
      <c r="G6" t="s">
        <v>36</v>
      </c>
      <c r="H6" t="s">
        <v>27</v>
      </c>
      <c r="I6" t="s">
        <v>75</v>
      </c>
      <c r="J6" t="s">
        <v>29</v>
      </c>
      <c r="K6" t="s">
        <v>46</v>
      </c>
      <c r="L6" t="s">
        <v>38</v>
      </c>
      <c r="M6" s="1">
        <v>0</v>
      </c>
      <c r="N6">
        <v>0</v>
      </c>
      <c r="O6">
        <v>0</v>
      </c>
      <c r="P6">
        <v>91.25</v>
      </c>
      <c r="Q6">
        <v>0</v>
      </c>
      <c r="R6" s="2">
        <v>0</v>
      </c>
      <c r="S6">
        <v>1</v>
      </c>
      <c r="T6">
        <v>1</v>
      </c>
    </row>
    <row r="7" spans="1:20" x14ac:dyDescent="0.2">
      <c r="A7" t="s">
        <v>157</v>
      </c>
      <c r="B7" t="s">
        <v>158</v>
      </c>
      <c r="C7" t="s">
        <v>206</v>
      </c>
      <c r="D7" t="s">
        <v>207</v>
      </c>
      <c r="E7" t="s">
        <v>35</v>
      </c>
      <c r="F7" t="s">
        <v>58</v>
      </c>
      <c r="G7" t="s">
        <v>36</v>
      </c>
      <c r="H7" t="s">
        <v>27</v>
      </c>
      <c r="I7" t="s">
        <v>75</v>
      </c>
      <c r="J7" t="s">
        <v>29</v>
      </c>
      <c r="K7" t="s">
        <v>46</v>
      </c>
      <c r="L7" t="s">
        <v>38</v>
      </c>
      <c r="M7" s="1">
        <v>0</v>
      </c>
      <c r="N7">
        <v>0</v>
      </c>
      <c r="O7">
        <v>0</v>
      </c>
      <c r="P7">
        <v>91.25</v>
      </c>
      <c r="Q7">
        <v>0</v>
      </c>
      <c r="R7" s="2">
        <v>0</v>
      </c>
      <c r="S7">
        <v>1</v>
      </c>
      <c r="T7">
        <v>1</v>
      </c>
    </row>
    <row r="8" spans="1:20" x14ac:dyDescent="0.2">
      <c r="A8" t="s">
        <v>212</v>
      </c>
      <c r="B8" t="s">
        <v>158</v>
      </c>
      <c r="C8" t="s">
        <v>213</v>
      </c>
      <c r="D8" t="s">
        <v>90</v>
      </c>
      <c r="E8" t="s">
        <v>35</v>
      </c>
      <c r="F8" t="s">
        <v>25</v>
      </c>
      <c r="G8" t="s">
        <v>36</v>
      </c>
      <c r="H8" t="s">
        <v>27</v>
      </c>
      <c r="I8" t="s">
        <v>75</v>
      </c>
      <c r="J8" t="s">
        <v>29</v>
      </c>
      <c r="K8" t="s">
        <v>46</v>
      </c>
      <c r="L8" t="s">
        <v>38</v>
      </c>
      <c r="M8" s="1">
        <v>0</v>
      </c>
      <c r="N8">
        <v>0</v>
      </c>
      <c r="O8">
        <v>0</v>
      </c>
      <c r="P8">
        <v>91.25</v>
      </c>
      <c r="Q8">
        <v>0</v>
      </c>
      <c r="R8" s="2">
        <v>0</v>
      </c>
      <c r="S8">
        <v>1</v>
      </c>
      <c r="T8">
        <v>1</v>
      </c>
    </row>
    <row r="9" spans="1:20" x14ac:dyDescent="0.2">
      <c r="A9" t="s">
        <v>186</v>
      </c>
      <c r="B9" t="s">
        <v>158</v>
      </c>
      <c r="C9" t="s">
        <v>217</v>
      </c>
      <c r="D9" t="s">
        <v>218</v>
      </c>
      <c r="E9" t="s">
        <v>35</v>
      </c>
      <c r="F9" t="s">
        <v>25</v>
      </c>
      <c r="G9" t="s">
        <v>36</v>
      </c>
      <c r="H9" t="s">
        <v>27</v>
      </c>
      <c r="I9" t="s">
        <v>75</v>
      </c>
      <c r="J9" t="s">
        <v>29</v>
      </c>
      <c r="K9" t="s">
        <v>46</v>
      </c>
      <c r="L9" t="s">
        <v>38</v>
      </c>
      <c r="M9" s="1">
        <v>0</v>
      </c>
      <c r="N9">
        <v>0</v>
      </c>
      <c r="O9">
        <v>0</v>
      </c>
      <c r="P9">
        <v>91.25</v>
      </c>
      <c r="Q9">
        <v>0</v>
      </c>
      <c r="R9" s="2">
        <v>0</v>
      </c>
      <c r="S9">
        <v>1</v>
      </c>
      <c r="T9">
        <v>1</v>
      </c>
    </row>
    <row r="10" spans="1:20" x14ac:dyDescent="0.2">
      <c r="A10" t="s">
        <v>212</v>
      </c>
      <c r="B10" t="s">
        <v>158</v>
      </c>
      <c r="C10" t="s">
        <v>240</v>
      </c>
      <c r="D10" t="s">
        <v>241</v>
      </c>
      <c r="E10" t="s">
        <v>35</v>
      </c>
      <c r="F10" t="s">
        <v>58</v>
      </c>
      <c r="G10" t="s">
        <v>36</v>
      </c>
      <c r="H10" t="s">
        <v>27</v>
      </c>
      <c r="I10" t="s">
        <v>75</v>
      </c>
      <c r="J10" t="s">
        <v>29</v>
      </c>
      <c r="K10" t="s">
        <v>46</v>
      </c>
      <c r="L10" t="s">
        <v>38</v>
      </c>
      <c r="M10" s="1">
        <v>0</v>
      </c>
      <c r="N10">
        <v>0</v>
      </c>
      <c r="O10">
        <v>0</v>
      </c>
      <c r="P10">
        <v>91.25</v>
      </c>
      <c r="Q10">
        <v>0</v>
      </c>
      <c r="R10" s="2">
        <v>0</v>
      </c>
      <c r="S10">
        <v>1</v>
      </c>
      <c r="T10">
        <v>1</v>
      </c>
    </row>
    <row r="11" spans="1:20" x14ac:dyDescent="0.2">
      <c r="A11" t="s">
        <v>157</v>
      </c>
      <c r="B11" t="s">
        <v>158</v>
      </c>
      <c r="C11" t="s">
        <v>244</v>
      </c>
      <c r="D11" t="s">
        <v>207</v>
      </c>
      <c r="E11" t="s">
        <v>35</v>
      </c>
      <c r="F11" t="s">
        <v>58</v>
      </c>
      <c r="G11" t="s">
        <v>36</v>
      </c>
      <c r="H11" t="s">
        <v>27</v>
      </c>
      <c r="I11" t="s">
        <v>75</v>
      </c>
      <c r="J11" t="s">
        <v>29</v>
      </c>
      <c r="K11" t="s">
        <v>46</v>
      </c>
      <c r="L11" t="s">
        <v>31</v>
      </c>
      <c r="M11" s="1">
        <v>969644.82</v>
      </c>
      <c r="N11">
        <v>1</v>
      </c>
      <c r="O11">
        <v>1</v>
      </c>
      <c r="P11">
        <v>91.25</v>
      </c>
      <c r="Q11">
        <v>0</v>
      </c>
      <c r="R11" s="2">
        <v>1</v>
      </c>
      <c r="S11">
        <v>0</v>
      </c>
      <c r="T11">
        <v>0</v>
      </c>
    </row>
    <row r="12" spans="1:20" x14ac:dyDescent="0.2">
      <c r="A12" t="s">
        <v>245</v>
      </c>
      <c r="B12" t="s">
        <v>158</v>
      </c>
      <c r="C12" t="s">
        <v>246</v>
      </c>
      <c r="D12" t="s">
        <v>247</v>
      </c>
      <c r="E12" t="s">
        <v>35</v>
      </c>
      <c r="F12" t="s">
        <v>25</v>
      </c>
      <c r="G12" t="s">
        <v>36</v>
      </c>
      <c r="H12" t="s">
        <v>27</v>
      </c>
      <c r="I12" t="s">
        <v>75</v>
      </c>
      <c r="J12" t="s">
        <v>29</v>
      </c>
      <c r="K12" t="s">
        <v>46</v>
      </c>
      <c r="L12" t="s">
        <v>38</v>
      </c>
      <c r="M12" s="1">
        <v>0</v>
      </c>
      <c r="N12">
        <v>0</v>
      </c>
      <c r="O12">
        <v>0</v>
      </c>
      <c r="P12">
        <v>91.25</v>
      </c>
      <c r="Q12">
        <v>0</v>
      </c>
      <c r="R12" s="2">
        <v>0</v>
      </c>
      <c r="S12">
        <v>1</v>
      </c>
      <c r="T12">
        <v>1</v>
      </c>
    </row>
    <row r="13" spans="1:20" x14ac:dyDescent="0.2">
      <c r="A13" t="s">
        <v>261</v>
      </c>
      <c r="B13" t="s">
        <v>262</v>
      </c>
      <c r="C13" t="s">
        <v>263</v>
      </c>
      <c r="D13" t="s">
        <v>264</v>
      </c>
      <c r="E13" t="s">
        <v>35</v>
      </c>
      <c r="F13" t="s">
        <v>25</v>
      </c>
      <c r="G13" t="s">
        <v>36</v>
      </c>
      <c r="H13" t="s">
        <v>27</v>
      </c>
      <c r="I13" t="s">
        <v>75</v>
      </c>
      <c r="J13" t="s">
        <v>29</v>
      </c>
      <c r="K13" t="s">
        <v>30</v>
      </c>
      <c r="L13" t="s">
        <v>38</v>
      </c>
      <c r="M13" s="1">
        <v>1757868.79</v>
      </c>
      <c r="N13">
        <v>1</v>
      </c>
      <c r="O13">
        <v>1</v>
      </c>
      <c r="P13">
        <v>91.25</v>
      </c>
      <c r="Q13">
        <v>0</v>
      </c>
      <c r="R13" s="2">
        <v>1</v>
      </c>
      <c r="S13">
        <v>0</v>
      </c>
      <c r="T13">
        <v>0</v>
      </c>
    </row>
    <row r="14" spans="1:20" x14ac:dyDescent="0.2">
      <c r="A14" t="s">
        <v>265</v>
      </c>
      <c r="B14" t="s">
        <v>262</v>
      </c>
      <c r="C14" t="s">
        <v>266</v>
      </c>
      <c r="D14" t="s">
        <v>267</v>
      </c>
      <c r="E14" t="s">
        <v>35</v>
      </c>
      <c r="F14" t="s">
        <v>25</v>
      </c>
      <c r="G14" t="s">
        <v>36</v>
      </c>
      <c r="H14" t="s">
        <v>27</v>
      </c>
      <c r="I14" t="s">
        <v>75</v>
      </c>
      <c r="J14" t="s">
        <v>29</v>
      </c>
      <c r="K14" t="s">
        <v>46</v>
      </c>
      <c r="L14" t="s">
        <v>38</v>
      </c>
      <c r="M14" s="1">
        <v>1166363.22</v>
      </c>
      <c r="N14">
        <v>0</v>
      </c>
      <c r="O14">
        <v>1</v>
      </c>
      <c r="P14">
        <v>91.25</v>
      </c>
      <c r="Q14">
        <v>0</v>
      </c>
      <c r="R14" s="2">
        <v>1</v>
      </c>
      <c r="S14">
        <v>1</v>
      </c>
      <c r="T14">
        <v>0</v>
      </c>
    </row>
    <row r="15" spans="1:20" x14ac:dyDescent="0.2">
      <c r="A15" t="s">
        <v>261</v>
      </c>
      <c r="B15" t="s">
        <v>262</v>
      </c>
      <c r="C15" t="s">
        <v>206</v>
      </c>
      <c r="D15" t="s">
        <v>207</v>
      </c>
      <c r="E15" t="s">
        <v>35</v>
      </c>
      <c r="F15" t="s">
        <v>58</v>
      </c>
      <c r="G15" t="s">
        <v>36</v>
      </c>
      <c r="H15" t="s">
        <v>27</v>
      </c>
      <c r="I15" t="s">
        <v>75</v>
      </c>
      <c r="J15" t="s">
        <v>29</v>
      </c>
      <c r="K15" t="s">
        <v>46</v>
      </c>
      <c r="L15" t="s">
        <v>38</v>
      </c>
      <c r="M15" s="1">
        <v>0</v>
      </c>
      <c r="N15">
        <v>0</v>
      </c>
      <c r="O15">
        <v>0</v>
      </c>
      <c r="P15">
        <v>91.25</v>
      </c>
      <c r="Q15">
        <v>0</v>
      </c>
      <c r="R15" s="2">
        <v>0</v>
      </c>
      <c r="S15">
        <v>1</v>
      </c>
      <c r="T15">
        <v>1</v>
      </c>
    </row>
    <row r="16" spans="1:20" x14ac:dyDescent="0.2">
      <c r="A16" t="s">
        <v>304</v>
      </c>
      <c r="B16" t="s">
        <v>262</v>
      </c>
      <c r="C16" t="s">
        <v>305</v>
      </c>
      <c r="D16" t="s">
        <v>306</v>
      </c>
      <c r="E16" t="s">
        <v>35</v>
      </c>
      <c r="F16" t="s">
        <v>25</v>
      </c>
      <c r="G16" t="s">
        <v>36</v>
      </c>
      <c r="H16" t="s">
        <v>27</v>
      </c>
      <c r="I16" t="s">
        <v>75</v>
      </c>
      <c r="J16" t="s">
        <v>29</v>
      </c>
      <c r="K16" t="s">
        <v>46</v>
      </c>
      <c r="L16" t="s">
        <v>38</v>
      </c>
      <c r="M16" s="1">
        <v>0</v>
      </c>
      <c r="N16">
        <v>0</v>
      </c>
      <c r="O16">
        <v>0</v>
      </c>
      <c r="P16">
        <v>91.25</v>
      </c>
      <c r="Q16">
        <v>0</v>
      </c>
      <c r="R16" s="2">
        <v>0</v>
      </c>
      <c r="S16">
        <v>1</v>
      </c>
      <c r="T16">
        <v>1</v>
      </c>
    </row>
    <row r="17" spans="1:20" x14ac:dyDescent="0.2">
      <c r="A17" t="s">
        <v>261</v>
      </c>
      <c r="B17" t="s">
        <v>262</v>
      </c>
      <c r="C17" t="s">
        <v>244</v>
      </c>
      <c r="D17" t="s">
        <v>207</v>
      </c>
      <c r="E17" t="s">
        <v>35</v>
      </c>
      <c r="F17" t="s">
        <v>58</v>
      </c>
      <c r="G17" t="s">
        <v>36</v>
      </c>
      <c r="H17" t="s">
        <v>27</v>
      </c>
      <c r="I17" t="s">
        <v>75</v>
      </c>
      <c r="J17" t="s">
        <v>29</v>
      </c>
      <c r="K17" t="s">
        <v>46</v>
      </c>
      <c r="L17" t="s">
        <v>31</v>
      </c>
      <c r="M17" s="1">
        <v>241246.39</v>
      </c>
      <c r="N17">
        <v>1</v>
      </c>
      <c r="O17">
        <v>1</v>
      </c>
      <c r="P17">
        <v>91.25</v>
      </c>
      <c r="Q17">
        <v>0</v>
      </c>
      <c r="R17" s="2">
        <v>1</v>
      </c>
      <c r="S17">
        <v>0</v>
      </c>
      <c r="T17">
        <v>0</v>
      </c>
    </row>
    <row r="18" spans="1:20" x14ac:dyDescent="0.2">
      <c r="A18" t="s">
        <v>54</v>
      </c>
      <c r="B18" t="s">
        <v>21</v>
      </c>
      <c r="C18" t="s">
        <v>420</v>
      </c>
      <c r="D18" t="s">
        <v>421</v>
      </c>
      <c r="E18" t="s">
        <v>35</v>
      </c>
      <c r="F18" t="s">
        <v>25</v>
      </c>
      <c r="G18" t="s">
        <v>36</v>
      </c>
      <c r="H18" t="s">
        <v>319</v>
      </c>
      <c r="I18" t="s">
        <v>75</v>
      </c>
      <c r="J18" t="s">
        <v>29</v>
      </c>
      <c r="K18" t="s">
        <v>46</v>
      </c>
      <c r="L18" t="s">
        <v>31</v>
      </c>
      <c r="M18" s="1">
        <v>9091</v>
      </c>
      <c r="N18">
        <v>1</v>
      </c>
      <c r="O18">
        <v>1</v>
      </c>
      <c r="P18">
        <v>91.25</v>
      </c>
      <c r="Q18">
        <v>0</v>
      </c>
      <c r="R18" s="2">
        <v>1</v>
      </c>
      <c r="S18">
        <v>0</v>
      </c>
      <c r="T18">
        <v>0</v>
      </c>
    </row>
    <row r="19" spans="1:20" x14ac:dyDescent="0.2">
      <c r="A19" t="s">
        <v>51</v>
      </c>
      <c r="B19" t="s">
        <v>21</v>
      </c>
      <c r="C19" t="s">
        <v>426</v>
      </c>
      <c r="D19" t="s">
        <v>427</v>
      </c>
      <c r="E19" t="s">
        <v>35</v>
      </c>
      <c r="F19" t="s">
        <v>25</v>
      </c>
      <c r="G19" t="s">
        <v>36</v>
      </c>
      <c r="H19" t="s">
        <v>319</v>
      </c>
      <c r="I19" t="s">
        <v>75</v>
      </c>
      <c r="J19" t="s">
        <v>29</v>
      </c>
      <c r="K19" t="s">
        <v>46</v>
      </c>
      <c r="L19" t="s">
        <v>38</v>
      </c>
      <c r="M19" s="1">
        <v>0</v>
      </c>
      <c r="N19">
        <v>0</v>
      </c>
      <c r="O19">
        <v>0</v>
      </c>
      <c r="P19">
        <v>91.25</v>
      </c>
      <c r="Q19">
        <v>0</v>
      </c>
      <c r="R19" s="2">
        <v>0</v>
      </c>
      <c r="S19">
        <v>1</v>
      </c>
      <c r="T19">
        <v>1</v>
      </c>
    </row>
    <row r="20" spans="1:20" x14ac:dyDescent="0.2">
      <c r="A20" t="s">
        <v>428</v>
      </c>
      <c r="B20" t="s">
        <v>21</v>
      </c>
      <c r="C20" t="s">
        <v>429</v>
      </c>
      <c r="D20" t="s">
        <v>90</v>
      </c>
      <c r="E20" t="s">
        <v>35</v>
      </c>
      <c r="F20" t="s">
        <v>25</v>
      </c>
      <c r="G20" t="s">
        <v>36</v>
      </c>
      <c r="H20" t="s">
        <v>319</v>
      </c>
      <c r="I20" t="s">
        <v>75</v>
      </c>
      <c r="J20" t="s">
        <v>29</v>
      </c>
      <c r="K20" t="s">
        <v>46</v>
      </c>
      <c r="L20" t="s">
        <v>38</v>
      </c>
      <c r="M20" s="1">
        <v>0</v>
      </c>
      <c r="N20">
        <v>0</v>
      </c>
      <c r="O20">
        <v>0</v>
      </c>
      <c r="P20">
        <v>91.25</v>
      </c>
      <c r="Q20">
        <v>0</v>
      </c>
      <c r="R20" s="2">
        <v>0</v>
      </c>
      <c r="S20">
        <v>1</v>
      </c>
      <c r="T20">
        <v>1</v>
      </c>
    </row>
    <row r="21" spans="1:20" x14ac:dyDescent="0.2">
      <c r="A21" t="s">
        <v>443</v>
      </c>
      <c r="B21" t="s">
        <v>158</v>
      </c>
      <c r="C21" t="s">
        <v>444</v>
      </c>
      <c r="D21" t="s">
        <v>445</v>
      </c>
      <c r="E21" t="s">
        <v>35</v>
      </c>
      <c r="F21" t="s">
        <v>25</v>
      </c>
      <c r="G21" t="s">
        <v>36</v>
      </c>
      <c r="H21" t="s">
        <v>319</v>
      </c>
      <c r="I21" t="s">
        <v>75</v>
      </c>
      <c r="J21" t="s">
        <v>29</v>
      </c>
      <c r="K21" t="s">
        <v>46</v>
      </c>
      <c r="L21" t="s">
        <v>38</v>
      </c>
      <c r="M21" s="1">
        <v>0</v>
      </c>
      <c r="N21">
        <v>0</v>
      </c>
      <c r="O21">
        <v>0</v>
      </c>
      <c r="P21">
        <v>91.25</v>
      </c>
      <c r="Q21">
        <v>0</v>
      </c>
      <c r="R21" s="2">
        <v>0</v>
      </c>
      <c r="S21">
        <v>1</v>
      </c>
      <c r="T21">
        <v>1</v>
      </c>
    </row>
    <row r="22" spans="1:20" x14ac:dyDescent="0.2">
      <c r="A22" t="s">
        <v>265</v>
      </c>
      <c r="B22" t="s">
        <v>262</v>
      </c>
      <c r="C22" t="s">
        <v>533</v>
      </c>
      <c r="D22" t="s">
        <v>534</v>
      </c>
      <c r="E22" t="s">
        <v>35</v>
      </c>
      <c r="F22" t="s">
        <v>25</v>
      </c>
      <c r="G22" t="s">
        <v>36</v>
      </c>
      <c r="H22" t="s">
        <v>319</v>
      </c>
      <c r="I22" t="s">
        <v>75</v>
      </c>
      <c r="J22" t="s">
        <v>29</v>
      </c>
      <c r="K22" t="s">
        <v>30</v>
      </c>
      <c r="L22" t="s">
        <v>38</v>
      </c>
      <c r="M22" s="1">
        <v>47995.59</v>
      </c>
      <c r="N22">
        <v>0</v>
      </c>
      <c r="O22">
        <v>1</v>
      </c>
      <c r="P22">
        <v>91.25</v>
      </c>
      <c r="Q22">
        <v>0</v>
      </c>
      <c r="R22" s="2">
        <v>1</v>
      </c>
      <c r="S22">
        <v>1</v>
      </c>
      <c r="T22">
        <v>0</v>
      </c>
    </row>
    <row r="23" spans="1:20" x14ac:dyDescent="0.2">
      <c r="A23" t="s">
        <v>32</v>
      </c>
      <c r="B23" t="s">
        <v>21</v>
      </c>
      <c r="C23" t="s">
        <v>615</v>
      </c>
      <c r="D23" t="s">
        <v>616</v>
      </c>
      <c r="E23" t="s">
        <v>35</v>
      </c>
      <c r="F23" t="s">
        <v>25</v>
      </c>
      <c r="G23" t="s">
        <v>36</v>
      </c>
      <c r="H23" t="s">
        <v>550</v>
      </c>
      <c r="I23" t="s">
        <v>75</v>
      </c>
      <c r="J23" t="s">
        <v>29</v>
      </c>
      <c r="K23" t="s">
        <v>46</v>
      </c>
      <c r="L23" t="s">
        <v>38</v>
      </c>
      <c r="M23" s="1">
        <v>0</v>
      </c>
      <c r="N23">
        <v>0</v>
      </c>
      <c r="O23">
        <v>0</v>
      </c>
      <c r="P23">
        <v>91.25</v>
      </c>
      <c r="Q23">
        <v>0</v>
      </c>
      <c r="R23" s="2">
        <v>0</v>
      </c>
      <c r="S23">
        <v>1</v>
      </c>
      <c r="T23">
        <v>1</v>
      </c>
    </row>
    <row r="24" spans="1:20" x14ac:dyDescent="0.2">
      <c r="A24" t="s">
        <v>710</v>
      </c>
      <c r="B24" t="s">
        <v>262</v>
      </c>
      <c r="C24" t="s">
        <v>711</v>
      </c>
      <c r="D24" t="s">
        <v>712</v>
      </c>
      <c r="E24" t="s">
        <v>35</v>
      </c>
      <c r="F24" t="s">
        <v>25</v>
      </c>
      <c r="G24" t="s">
        <v>36</v>
      </c>
      <c r="H24" t="s">
        <v>550</v>
      </c>
      <c r="I24" t="s">
        <v>75</v>
      </c>
      <c r="J24" t="s">
        <v>29</v>
      </c>
      <c r="K24" t="s">
        <v>46</v>
      </c>
      <c r="L24" t="s">
        <v>31</v>
      </c>
      <c r="M24" s="1">
        <v>92514</v>
      </c>
      <c r="N24">
        <v>1</v>
      </c>
      <c r="O24">
        <v>1</v>
      </c>
      <c r="P24">
        <v>91.25</v>
      </c>
      <c r="Q24">
        <v>0</v>
      </c>
      <c r="R24" s="2">
        <v>1</v>
      </c>
      <c r="S24">
        <v>0</v>
      </c>
      <c r="T24">
        <v>0</v>
      </c>
    </row>
    <row r="25" spans="1:20" x14ac:dyDescent="0.2">
      <c r="A25" t="s">
        <v>713</v>
      </c>
      <c r="B25" t="s">
        <v>262</v>
      </c>
      <c r="C25" t="s">
        <v>714</v>
      </c>
      <c r="D25" t="s">
        <v>715</v>
      </c>
      <c r="E25" t="s">
        <v>35</v>
      </c>
      <c r="F25" t="s">
        <v>25</v>
      </c>
      <c r="G25" t="s">
        <v>36</v>
      </c>
      <c r="H25" t="s">
        <v>550</v>
      </c>
      <c r="I25" t="s">
        <v>75</v>
      </c>
      <c r="J25" t="s">
        <v>29</v>
      </c>
      <c r="K25" t="s">
        <v>46</v>
      </c>
      <c r="L25" t="s">
        <v>31</v>
      </c>
      <c r="M25" s="1">
        <v>85165.61</v>
      </c>
      <c r="N25">
        <v>1</v>
      </c>
      <c r="O25">
        <v>1</v>
      </c>
      <c r="P25">
        <v>91.25</v>
      </c>
      <c r="Q25">
        <v>0</v>
      </c>
      <c r="R25" s="2">
        <v>1</v>
      </c>
      <c r="S25">
        <v>0</v>
      </c>
      <c r="T25">
        <v>0</v>
      </c>
    </row>
    <row r="26" spans="1:20" x14ac:dyDescent="0.2">
      <c r="A26" t="s">
        <v>265</v>
      </c>
      <c r="B26" t="s">
        <v>262</v>
      </c>
      <c r="C26" t="s">
        <v>716</v>
      </c>
      <c r="D26" t="s">
        <v>717</v>
      </c>
      <c r="E26" t="s">
        <v>35</v>
      </c>
      <c r="F26" t="s">
        <v>25</v>
      </c>
      <c r="G26" t="s">
        <v>36</v>
      </c>
      <c r="H26" t="s">
        <v>550</v>
      </c>
      <c r="I26" t="s">
        <v>75</v>
      </c>
      <c r="J26" t="s">
        <v>29</v>
      </c>
      <c r="K26" t="s">
        <v>46</v>
      </c>
      <c r="L26" t="s">
        <v>38</v>
      </c>
      <c r="M26" s="1">
        <v>0</v>
      </c>
      <c r="N26">
        <v>0</v>
      </c>
      <c r="O26">
        <v>0</v>
      </c>
      <c r="P26">
        <v>91.25</v>
      </c>
      <c r="Q26">
        <v>0</v>
      </c>
      <c r="R26" s="2">
        <v>0</v>
      </c>
      <c r="S26">
        <v>1</v>
      </c>
      <c r="T26">
        <v>1</v>
      </c>
    </row>
    <row r="27" spans="1:20" x14ac:dyDescent="0.2">
      <c r="A27" t="s">
        <v>710</v>
      </c>
      <c r="B27" t="s">
        <v>262</v>
      </c>
      <c r="C27" t="s">
        <v>720</v>
      </c>
      <c r="D27" t="s">
        <v>721</v>
      </c>
      <c r="E27" t="s">
        <v>35</v>
      </c>
      <c r="F27" t="s">
        <v>25</v>
      </c>
      <c r="G27" t="s">
        <v>36</v>
      </c>
      <c r="H27" t="s">
        <v>550</v>
      </c>
      <c r="I27" t="s">
        <v>75</v>
      </c>
      <c r="J27" t="s">
        <v>29</v>
      </c>
      <c r="K27" t="s">
        <v>46</v>
      </c>
      <c r="L27" t="s">
        <v>31</v>
      </c>
      <c r="M27" s="1">
        <v>3788</v>
      </c>
      <c r="N27">
        <v>1</v>
      </c>
      <c r="O27">
        <v>1</v>
      </c>
      <c r="P27">
        <v>91.25</v>
      </c>
      <c r="Q27">
        <v>0</v>
      </c>
      <c r="R27" s="2">
        <v>1</v>
      </c>
      <c r="S27">
        <v>0</v>
      </c>
      <c r="T27">
        <v>0</v>
      </c>
    </row>
    <row r="28" spans="1:20" x14ac:dyDescent="0.2">
      <c r="A28" t="s">
        <v>277</v>
      </c>
      <c r="B28" t="s">
        <v>262</v>
      </c>
      <c r="C28" t="s">
        <v>734</v>
      </c>
      <c r="D28" t="s">
        <v>735</v>
      </c>
      <c r="E28" t="s">
        <v>35</v>
      </c>
      <c r="F28" t="s">
        <v>25</v>
      </c>
      <c r="G28" t="s">
        <v>36</v>
      </c>
      <c r="H28" t="s">
        <v>550</v>
      </c>
      <c r="I28" t="s">
        <v>75</v>
      </c>
      <c r="J28" t="s">
        <v>29</v>
      </c>
      <c r="K28" t="s">
        <v>46</v>
      </c>
      <c r="L28" t="s">
        <v>38</v>
      </c>
      <c r="M28" s="1">
        <v>0</v>
      </c>
      <c r="N28">
        <v>0</v>
      </c>
      <c r="O28">
        <v>0</v>
      </c>
      <c r="P28">
        <v>91.25</v>
      </c>
      <c r="Q28">
        <v>0</v>
      </c>
      <c r="R28" s="2">
        <v>0</v>
      </c>
      <c r="S28">
        <v>1</v>
      </c>
      <c r="T28">
        <v>1</v>
      </c>
    </row>
    <row r="29" spans="1:20" x14ac:dyDescent="0.2">
      <c r="A29" t="s">
        <v>32</v>
      </c>
      <c r="B29" t="s">
        <v>21</v>
      </c>
      <c r="C29" t="s">
        <v>754</v>
      </c>
      <c r="D29" t="s">
        <v>755</v>
      </c>
      <c r="E29" t="s">
        <v>35</v>
      </c>
      <c r="F29" t="s">
        <v>25</v>
      </c>
      <c r="G29" t="s">
        <v>36</v>
      </c>
      <c r="H29" t="s">
        <v>748</v>
      </c>
      <c r="I29" t="s">
        <v>75</v>
      </c>
      <c r="J29" t="s">
        <v>29</v>
      </c>
      <c r="K29" t="s">
        <v>46</v>
      </c>
      <c r="L29" t="s">
        <v>38</v>
      </c>
      <c r="M29" s="1">
        <v>0</v>
      </c>
      <c r="N29">
        <v>0</v>
      </c>
      <c r="O29">
        <v>0</v>
      </c>
      <c r="P29">
        <v>91.25</v>
      </c>
      <c r="Q29">
        <v>0</v>
      </c>
      <c r="R29" s="2">
        <v>0</v>
      </c>
      <c r="S29">
        <v>1</v>
      </c>
      <c r="T29">
        <v>1</v>
      </c>
    </row>
    <row r="30" spans="1:20" x14ac:dyDescent="0.2">
      <c r="A30" t="s">
        <v>782</v>
      </c>
      <c r="B30" t="s">
        <v>21</v>
      </c>
      <c r="C30" t="s">
        <v>783</v>
      </c>
      <c r="D30" t="s">
        <v>784</v>
      </c>
      <c r="E30" t="s">
        <v>35</v>
      </c>
      <c r="F30" t="s">
        <v>25</v>
      </c>
      <c r="G30" t="s">
        <v>36</v>
      </c>
      <c r="H30" t="s">
        <v>748</v>
      </c>
      <c r="I30" t="s">
        <v>75</v>
      </c>
      <c r="J30" t="s">
        <v>29</v>
      </c>
      <c r="K30" t="s">
        <v>46</v>
      </c>
      <c r="L30" t="s">
        <v>38</v>
      </c>
      <c r="M30" s="1">
        <v>0</v>
      </c>
      <c r="N30">
        <v>0</v>
      </c>
      <c r="O30">
        <v>0</v>
      </c>
      <c r="P30">
        <v>91.25</v>
      </c>
      <c r="Q30">
        <v>0</v>
      </c>
      <c r="R30" s="2">
        <v>0</v>
      </c>
      <c r="S30">
        <v>1</v>
      </c>
      <c r="T30">
        <v>1</v>
      </c>
    </row>
    <row r="31" spans="1:20" x14ac:dyDescent="0.2">
      <c r="A31" t="s">
        <v>96</v>
      </c>
      <c r="B31" t="s">
        <v>21</v>
      </c>
      <c r="C31" t="s">
        <v>785</v>
      </c>
      <c r="D31" t="s">
        <v>786</v>
      </c>
      <c r="E31" t="s">
        <v>35</v>
      </c>
      <c r="F31" t="s">
        <v>58</v>
      </c>
      <c r="G31" t="s">
        <v>36</v>
      </c>
      <c r="H31" t="s">
        <v>748</v>
      </c>
      <c r="I31" t="s">
        <v>75</v>
      </c>
      <c r="J31" t="s">
        <v>29</v>
      </c>
      <c r="K31" t="s">
        <v>46</v>
      </c>
      <c r="L31" t="s">
        <v>38</v>
      </c>
      <c r="M31" s="1">
        <v>0</v>
      </c>
      <c r="N31">
        <v>0</v>
      </c>
      <c r="O31">
        <v>0</v>
      </c>
      <c r="P31">
        <v>91.25</v>
      </c>
      <c r="Q31">
        <v>0</v>
      </c>
      <c r="R31" s="2">
        <v>0</v>
      </c>
      <c r="S31">
        <v>1</v>
      </c>
      <c r="T31">
        <v>1</v>
      </c>
    </row>
    <row r="32" spans="1:20" x14ac:dyDescent="0.2">
      <c r="A32" t="s">
        <v>789</v>
      </c>
      <c r="B32" t="s">
        <v>21</v>
      </c>
      <c r="C32" t="s">
        <v>790</v>
      </c>
      <c r="D32" t="s">
        <v>791</v>
      </c>
      <c r="E32" t="s">
        <v>35</v>
      </c>
      <c r="F32" t="s">
        <v>25</v>
      </c>
      <c r="G32" t="s">
        <v>36</v>
      </c>
      <c r="H32" t="s">
        <v>748</v>
      </c>
      <c r="I32" t="s">
        <v>75</v>
      </c>
      <c r="J32" t="s">
        <v>29</v>
      </c>
      <c r="K32" t="s">
        <v>46</v>
      </c>
      <c r="L32" t="s">
        <v>38</v>
      </c>
      <c r="M32" s="1">
        <v>0</v>
      </c>
      <c r="N32">
        <v>0</v>
      </c>
      <c r="O32">
        <v>0</v>
      </c>
      <c r="P32">
        <v>91.25</v>
      </c>
      <c r="Q32">
        <v>0</v>
      </c>
      <c r="R32" s="2">
        <v>0</v>
      </c>
      <c r="S32">
        <v>1</v>
      </c>
      <c r="T32">
        <v>1</v>
      </c>
    </row>
    <row r="33" spans="1:20" x14ac:dyDescent="0.2">
      <c r="A33" t="s">
        <v>96</v>
      </c>
      <c r="B33" t="s">
        <v>21</v>
      </c>
      <c r="C33" t="s">
        <v>792</v>
      </c>
      <c r="D33" t="s">
        <v>793</v>
      </c>
      <c r="E33" t="s">
        <v>35</v>
      </c>
      <c r="F33" t="s">
        <v>58</v>
      </c>
      <c r="G33" t="s">
        <v>36</v>
      </c>
      <c r="H33" t="s">
        <v>748</v>
      </c>
      <c r="I33" t="s">
        <v>75</v>
      </c>
      <c r="J33" t="s">
        <v>29</v>
      </c>
      <c r="K33" t="s">
        <v>46</v>
      </c>
      <c r="L33" t="s">
        <v>38</v>
      </c>
      <c r="M33" s="1">
        <v>0</v>
      </c>
      <c r="N33">
        <v>0</v>
      </c>
      <c r="O33">
        <v>0</v>
      </c>
      <c r="P33">
        <v>91.25</v>
      </c>
      <c r="Q33">
        <v>0</v>
      </c>
      <c r="R33" s="2">
        <v>0</v>
      </c>
      <c r="S33">
        <v>1</v>
      </c>
      <c r="T33">
        <v>1</v>
      </c>
    </row>
    <row r="34" spans="1:20" x14ac:dyDescent="0.2">
      <c r="A34" t="s">
        <v>32</v>
      </c>
      <c r="B34" t="s">
        <v>21</v>
      </c>
      <c r="C34" t="s">
        <v>798</v>
      </c>
      <c r="D34" t="s">
        <v>799</v>
      </c>
      <c r="E34" t="s">
        <v>35</v>
      </c>
      <c r="F34" t="s">
        <v>25</v>
      </c>
      <c r="G34" t="s">
        <v>36</v>
      </c>
      <c r="H34" t="s">
        <v>748</v>
      </c>
      <c r="I34" t="s">
        <v>75</v>
      </c>
      <c r="J34" t="s">
        <v>29</v>
      </c>
      <c r="K34" t="s">
        <v>46</v>
      </c>
      <c r="L34" t="s">
        <v>38</v>
      </c>
      <c r="M34" s="1">
        <v>0</v>
      </c>
      <c r="N34">
        <v>0</v>
      </c>
      <c r="O34">
        <v>0</v>
      </c>
      <c r="P34">
        <v>91.25</v>
      </c>
      <c r="Q34">
        <v>0</v>
      </c>
      <c r="R34" s="2">
        <v>0</v>
      </c>
      <c r="S34">
        <v>1</v>
      </c>
      <c r="T34">
        <v>1</v>
      </c>
    </row>
    <row r="35" spans="1:20" x14ac:dyDescent="0.2">
      <c r="A35" t="s">
        <v>814</v>
      </c>
      <c r="B35" t="s">
        <v>21</v>
      </c>
      <c r="C35" t="s">
        <v>824</v>
      </c>
      <c r="D35" t="s">
        <v>825</v>
      </c>
      <c r="E35" t="s">
        <v>35</v>
      </c>
      <c r="F35" t="s">
        <v>25</v>
      </c>
      <c r="G35" t="s">
        <v>36</v>
      </c>
      <c r="H35" t="s">
        <v>748</v>
      </c>
      <c r="I35" t="s">
        <v>75</v>
      </c>
      <c r="J35" t="s">
        <v>29</v>
      </c>
      <c r="K35" t="s">
        <v>46</v>
      </c>
      <c r="L35" t="s">
        <v>31</v>
      </c>
      <c r="M35" s="1">
        <v>747859.87</v>
      </c>
      <c r="N35">
        <v>1</v>
      </c>
      <c r="O35">
        <v>1</v>
      </c>
      <c r="P35">
        <v>91.25</v>
      </c>
      <c r="Q35">
        <v>0</v>
      </c>
      <c r="R35" s="2">
        <v>1</v>
      </c>
      <c r="S35">
        <v>0</v>
      </c>
      <c r="T35">
        <v>0</v>
      </c>
    </row>
    <row r="36" spans="1:20" x14ac:dyDescent="0.2">
      <c r="A36" t="s">
        <v>713</v>
      </c>
      <c r="B36" t="s">
        <v>158</v>
      </c>
      <c r="C36" t="s">
        <v>878</v>
      </c>
      <c r="D36" t="s">
        <v>879</v>
      </c>
      <c r="E36" t="s">
        <v>35</v>
      </c>
      <c r="F36" t="s">
        <v>25</v>
      </c>
      <c r="G36" t="s">
        <v>36</v>
      </c>
      <c r="H36" t="s">
        <v>748</v>
      </c>
      <c r="I36" t="s">
        <v>75</v>
      </c>
      <c r="J36" t="s">
        <v>29</v>
      </c>
      <c r="K36" t="s">
        <v>46</v>
      </c>
      <c r="L36" t="s">
        <v>31</v>
      </c>
      <c r="M36" s="1">
        <v>372307.56</v>
      </c>
      <c r="N36">
        <v>1</v>
      </c>
      <c r="O36">
        <v>1</v>
      </c>
      <c r="P36">
        <v>91.25</v>
      </c>
      <c r="Q36">
        <v>0</v>
      </c>
      <c r="R36" s="2">
        <v>1</v>
      </c>
      <c r="S36">
        <v>0</v>
      </c>
      <c r="T36">
        <v>0</v>
      </c>
    </row>
    <row r="37" spans="1:20" x14ac:dyDescent="0.2">
      <c r="A37" t="s">
        <v>880</v>
      </c>
      <c r="B37" t="s">
        <v>158</v>
      </c>
      <c r="C37" t="s">
        <v>881</v>
      </c>
      <c r="D37" t="s">
        <v>882</v>
      </c>
      <c r="E37" t="s">
        <v>35</v>
      </c>
      <c r="F37" t="s">
        <v>25</v>
      </c>
      <c r="G37" t="s">
        <v>36</v>
      </c>
      <c r="H37" t="s">
        <v>748</v>
      </c>
      <c r="I37" t="s">
        <v>75</v>
      </c>
      <c r="J37" t="s">
        <v>29</v>
      </c>
      <c r="K37" t="s">
        <v>46</v>
      </c>
      <c r="L37" t="s">
        <v>38</v>
      </c>
      <c r="M37" s="1">
        <v>0</v>
      </c>
      <c r="N37">
        <v>0</v>
      </c>
      <c r="O37">
        <v>0</v>
      </c>
      <c r="P37">
        <v>91.25</v>
      </c>
      <c r="Q37">
        <v>0</v>
      </c>
      <c r="R37" s="2">
        <v>0</v>
      </c>
      <c r="S37">
        <v>1</v>
      </c>
      <c r="T37">
        <v>1</v>
      </c>
    </row>
    <row r="38" spans="1:20" x14ac:dyDescent="0.2">
      <c r="A38" t="s">
        <v>345</v>
      </c>
      <c r="B38" t="s">
        <v>158</v>
      </c>
      <c r="C38" t="s">
        <v>885</v>
      </c>
      <c r="D38" t="s">
        <v>886</v>
      </c>
      <c r="E38" t="s">
        <v>35</v>
      </c>
      <c r="F38" t="s">
        <v>25</v>
      </c>
      <c r="G38" t="s">
        <v>36</v>
      </c>
      <c r="H38" t="s">
        <v>748</v>
      </c>
      <c r="I38" t="s">
        <v>75</v>
      </c>
      <c r="J38" t="s">
        <v>29</v>
      </c>
      <c r="K38" t="s">
        <v>46</v>
      </c>
      <c r="L38" t="s">
        <v>38</v>
      </c>
      <c r="M38" s="1">
        <v>0</v>
      </c>
      <c r="N38">
        <v>0</v>
      </c>
      <c r="O38">
        <v>0</v>
      </c>
      <c r="P38">
        <v>91.25</v>
      </c>
      <c r="Q38">
        <v>0</v>
      </c>
      <c r="R38" s="2">
        <v>0</v>
      </c>
      <c r="S38">
        <v>1</v>
      </c>
      <c r="T38">
        <v>1</v>
      </c>
    </row>
    <row r="39" spans="1:20" x14ac:dyDescent="0.2">
      <c r="A39" t="s">
        <v>814</v>
      </c>
      <c r="B39" t="s">
        <v>21</v>
      </c>
      <c r="C39" t="s">
        <v>1201</v>
      </c>
      <c r="D39" t="s">
        <v>1202</v>
      </c>
      <c r="E39" t="s">
        <v>35</v>
      </c>
      <c r="F39" t="s">
        <v>25</v>
      </c>
      <c r="G39" t="s">
        <v>36</v>
      </c>
      <c r="H39" t="s">
        <v>1071</v>
      </c>
      <c r="I39" t="s">
        <v>75</v>
      </c>
      <c r="J39" t="s">
        <v>29</v>
      </c>
      <c r="K39" t="s">
        <v>46</v>
      </c>
      <c r="L39" t="s">
        <v>556</v>
      </c>
      <c r="M39" s="1">
        <v>0</v>
      </c>
      <c r="N39">
        <v>0</v>
      </c>
      <c r="O39">
        <v>0</v>
      </c>
      <c r="P39">
        <v>91.25</v>
      </c>
      <c r="Q39">
        <v>1</v>
      </c>
      <c r="R39" s="2">
        <v>0</v>
      </c>
      <c r="S39">
        <v>0</v>
      </c>
      <c r="T39">
        <v>0</v>
      </c>
    </row>
    <row r="40" spans="1:20" x14ac:dyDescent="0.2">
      <c r="A40" t="s">
        <v>571</v>
      </c>
      <c r="B40" t="s">
        <v>21</v>
      </c>
      <c r="C40" t="s">
        <v>1203</v>
      </c>
      <c r="D40" t="s">
        <v>1204</v>
      </c>
      <c r="E40" t="s">
        <v>35</v>
      </c>
      <c r="F40" t="s">
        <v>58</v>
      </c>
      <c r="G40" t="s">
        <v>36</v>
      </c>
      <c r="H40" t="s">
        <v>1071</v>
      </c>
      <c r="I40" t="s">
        <v>75</v>
      </c>
      <c r="J40" t="s">
        <v>29</v>
      </c>
      <c r="K40" t="s">
        <v>46</v>
      </c>
      <c r="L40" t="s">
        <v>556</v>
      </c>
      <c r="M40" s="1">
        <v>0</v>
      </c>
      <c r="N40">
        <v>0</v>
      </c>
      <c r="O40">
        <v>0</v>
      </c>
      <c r="P40">
        <v>91.25</v>
      </c>
      <c r="Q40">
        <v>1</v>
      </c>
      <c r="R40" s="2">
        <v>0</v>
      </c>
      <c r="S40">
        <v>0</v>
      </c>
      <c r="T40">
        <v>0</v>
      </c>
    </row>
    <row r="41" spans="1:20" x14ac:dyDescent="0.2">
      <c r="A41" t="s">
        <v>914</v>
      </c>
      <c r="B41" t="s">
        <v>158</v>
      </c>
      <c r="C41" t="s">
        <v>1544</v>
      </c>
      <c r="D41" t="s">
        <v>1545</v>
      </c>
      <c r="E41" t="s">
        <v>35</v>
      </c>
      <c r="F41" t="s">
        <v>25</v>
      </c>
      <c r="G41" t="s">
        <v>36</v>
      </c>
      <c r="H41" t="s">
        <v>1410</v>
      </c>
      <c r="I41" t="s">
        <v>75</v>
      </c>
      <c r="J41" t="s">
        <v>29</v>
      </c>
      <c r="K41" t="s">
        <v>46</v>
      </c>
      <c r="L41" t="s">
        <v>556</v>
      </c>
      <c r="M41" s="1">
        <v>0</v>
      </c>
      <c r="N41">
        <v>0</v>
      </c>
      <c r="O41">
        <v>0</v>
      </c>
      <c r="P41">
        <v>91.25</v>
      </c>
      <c r="Q41">
        <v>1</v>
      </c>
      <c r="R41" s="2">
        <v>0</v>
      </c>
      <c r="S41">
        <v>0</v>
      </c>
      <c r="T41">
        <v>0</v>
      </c>
    </row>
    <row r="42" spans="1:20" x14ac:dyDescent="0.2">
      <c r="A42" t="s">
        <v>202</v>
      </c>
      <c r="B42" t="s">
        <v>158</v>
      </c>
      <c r="C42" t="s">
        <v>203</v>
      </c>
      <c r="D42" t="s">
        <v>204</v>
      </c>
      <c r="E42" t="s">
        <v>35</v>
      </c>
      <c r="F42" t="s">
        <v>25</v>
      </c>
      <c r="G42" t="s">
        <v>36</v>
      </c>
      <c r="H42" t="s">
        <v>27</v>
      </c>
      <c r="I42" t="s">
        <v>205</v>
      </c>
      <c r="J42" t="s">
        <v>29</v>
      </c>
      <c r="K42" t="s">
        <v>46</v>
      </c>
      <c r="L42" t="s">
        <v>38</v>
      </c>
      <c r="M42" s="1">
        <v>0</v>
      </c>
      <c r="N42">
        <v>0</v>
      </c>
      <c r="O42">
        <v>0</v>
      </c>
      <c r="P42">
        <v>91.25</v>
      </c>
      <c r="Q42">
        <v>0</v>
      </c>
      <c r="R42" s="2">
        <v>0</v>
      </c>
      <c r="S42">
        <v>1</v>
      </c>
      <c r="T42">
        <v>1</v>
      </c>
    </row>
    <row r="43" spans="1:20" x14ac:dyDescent="0.2">
      <c r="A43" t="s">
        <v>345</v>
      </c>
      <c r="B43" t="s">
        <v>21</v>
      </c>
      <c r="C43" t="s">
        <v>346</v>
      </c>
      <c r="D43" t="s">
        <v>347</v>
      </c>
      <c r="E43" t="s">
        <v>35</v>
      </c>
      <c r="F43" t="s">
        <v>25</v>
      </c>
      <c r="G43" t="s">
        <v>36</v>
      </c>
      <c r="H43" t="s">
        <v>319</v>
      </c>
      <c r="I43" t="s">
        <v>205</v>
      </c>
      <c r="J43" t="s">
        <v>29</v>
      </c>
      <c r="K43" t="s">
        <v>46</v>
      </c>
      <c r="L43" t="s">
        <v>38</v>
      </c>
      <c r="M43" s="1">
        <v>0</v>
      </c>
      <c r="N43">
        <v>0</v>
      </c>
      <c r="O43">
        <v>0</v>
      </c>
      <c r="P43">
        <v>91.25</v>
      </c>
      <c r="Q43">
        <v>0</v>
      </c>
      <c r="R43" s="2">
        <v>0</v>
      </c>
      <c r="S43">
        <v>1</v>
      </c>
      <c r="T43">
        <v>1</v>
      </c>
    </row>
    <row r="44" spans="1:20" x14ac:dyDescent="0.2">
      <c r="A44" t="s">
        <v>561</v>
      </c>
      <c r="B44" t="s">
        <v>21</v>
      </c>
      <c r="C44" t="s">
        <v>562</v>
      </c>
      <c r="D44" t="s">
        <v>563</v>
      </c>
      <c r="E44" t="s">
        <v>35</v>
      </c>
      <c r="F44" t="s">
        <v>25</v>
      </c>
      <c r="G44" t="s">
        <v>36</v>
      </c>
      <c r="H44" t="s">
        <v>550</v>
      </c>
      <c r="I44" t="s">
        <v>205</v>
      </c>
      <c r="J44" t="s">
        <v>29</v>
      </c>
      <c r="K44" t="s">
        <v>46</v>
      </c>
      <c r="L44" t="s">
        <v>38</v>
      </c>
      <c r="M44" s="1">
        <v>0</v>
      </c>
      <c r="N44">
        <v>0</v>
      </c>
      <c r="O44">
        <v>0</v>
      </c>
      <c r="P44">
        <v>91.25</v>
      </c>
      <c r="Q44">
        <v>0</v>
      </c>
      <c r="R44" s="2">
        <v>0</v>
      </c>
      <c r="S44">
        <v>1</v>
      </c>
      <c r="T44">
        <v>1</v>
      </c>
    </row>
    <row r="45" spans="1:20" x14ac:dyDescent="0.2">
      <c r="A45" t="s">
        <v>705</v>
      </c>
      <c r="B45" t="s">
        <v>262</v>
      </c>
      <c r="C45" t="s">
        <v>1022</v>
      </c>
      <c r="D45" t="s">
        <v>1023</v>
      </c>
      <c r="E45" t="s">
        <v>35</v>
      </c>
      <c r="F45" t="s">
        <v>25</v>
      </c>
      <c r="G45" t="s">
        <v>36</v>
      </c>
      <c r="H45" t="s">
        <v>748</v>
      </c>
      <c r="I45" t="s">
        <v>205</v>
      </c>
      <c r="J45" t="s">
        <v>29</v>
      </c>
      <c r="K45" t="s">
        <v>46</v>
      </c>
      <c r="L45" t="s">
        <v>38</v>
      </c>
      <c r="M45" s="1">
        <v>0</v>
      </c>
      <c r="N45">
        <v>0</v>
      </c>
      <c r="O45">
        <v>0</v>
      </c>
      <c r="P45">
        <v>91.25</v>
      </c>
      <c r="Q45">
        <v>0</v>
      </c>
      <c r="R45" s="2">
        <v>0</v>
      </c>
      <c r="S45">
        <v>1</v>
      </c>
      <c r="T45">
        <v>1</v>
      </c>
    </row>
    <row r="46" spans="1:20" x14ac:dyDescent="0.2">
      <c r="A46" t="s">
        <v>782</v>
      </c>
      <c r="B46" t="s">
        <v>262</v>
      </c>
      <c r="C46" t="s">
        <v>1399</v>
      </c>
      <c r="D46" t="s">
        <v>1400</v>
      </c>
      <c r="E46" t="s">
        <v>35</v>
      </c>
      <c r="F46" t="s">
        <v>25</v>
      </c>
      <c r="G46" t="s">
        <v>36</v>
      </c>
      <c r="H46" t="s">
        <v>1071</v>
      </c>
      <c r="I46" t="s">
        <v>205</v>
      </c>
      <c r="J46" t="s">
        <v>29</v>
      </c>
      <c r="K46" t="s">
        <v>46</v>
      </c>
      <c r="L46" t="s">
        <v>556</v>
      </c>
      <c r="M46" s="1">
        <v>0</v>
      </c>
      <c r="N46">
        <v>0</v>
      </c>
      <c r="O46">
        <v>0</v>
      </c>
      <c r="P46">
        <v>91.25</v>
      </c>
      <c r="Q46">
        <v>1</v>
      </c>
      <c r="R46" s="2">
        <v>0</v>
      </c>
      <c r="S46">
        <v>0</v>
      </c>
      <c r="T46">
        <v>0</v>
      </c>
    </row>
    <row r="47" spans="1:20" x14ac:dyDescent="0.2">
      <c r="A47" t="s">
        <v>186</v>
      </c>
      <c r="B47" t="s">
        <v>158</v>
      </c>
      <c r="C47" t="s">
        <v>214</v>
      </c>
      <c r="D47" t="s">
        <v>215</v>
      </c>
      <c r="E47" t="s">
        <v>35</v>
      </c>
      <c r="F47" t="s">
        <v>25</v>
      </c>
      <c r="G47" t="s">
        <v>36</v>
      </c>
      <c r="H47" t="s">
        <v>27</v>
      </c>
      <c r="I47" t="s">
        <v>216</v>
      </c>
      <c r="J47" t="s">
        <v>45</v>
      </c>
      <c r="K47" t="s">
        <v>46</v>
      </c>
      <c r="L47" t="s">
        <v>38</v>
      </c>
      <c r="M47" s="1">
        <v>0</v>
      </c>
      <c r="N47">
        <v>0</v>
      </c>
      <c r="O47">
        <v>0</v>
      </c>
      <c r="P47">
        <v>91.25</v>
      </c>
      <c r="Q47">
        <v>0</v>
      </c>
      <c r="R47" s="2">
        <v>0</v>
      </c>
      <c r="S47">
        <v>1</v>
      </c>
      <c r="T47">
        <v>1</v>
      </c>
    </row>
    <row r="48" spans="1:20" x14ac:dyDescent="0.2">
      <c r="A48" t="s">
        <v>502</v>
      </c>
      <c r="B48" t="s">
        <v>250</v>
      </c>
      <c r="C48" t="s">
        <v>503</v>
      </c>
      <c r="D48" t="s">
        <v>504</v>
      </c>
      <c r="E48" t="s">
        <v>35</v>
      </c>
      <c r="F48" t="s">
        <v>25</v>
      </c>
      <c r="G48" t="s">
        <v>36</v>
      </c>
      <c r="H48" t="s">
        <v>319</v>
      </c>
      <c r="I48" t="s">
        <v>216</v>
      </c>
      <c r="J48" t="s">
        <v>45</v>
      </c>
      <c r="K48" t="s">
        <v>46</v>
      </c>
      <c r="L48" t="s">
        <v>38</v>
      </c>
      <c r="M48" s="1">
        <v>0</v>
      </c>
      <c r="N48">
        <v>0</v>
      </c>
      <c r="O48">
        <v>0</v>
      </c>
      <c r="P48">
        <v>91.25</v>
      </c>
      <c r="Q48">
        <v>0</v>
      </c>
      <c r="R48" s="2">
        <v>0</v>
      </c>
      <c r="S48">
        <v>1</v>
      </c>
      <c r="T48">
        <v>1</v>
      </c>
    </row>
    <row r="49" spans="1:20" x14ac:dyDescent="0.2">
      <c r="A49" t="s">
        <v>324</v>
      </c>
      <c r="B49" t="s">
        <v>21</v>
      </c>
      <c r="C49" t="s">
        <v>417</v>
      </c>
      <c r="D49" t="s">
        <v>418</v>
      </c>
      <c r="E49" t="s">
        <v>35</v>
      </c>
      <c r="F49" t="s">
        <v>25</v>
      </c>
      <c r="G49" t="s">
        <v>36</v>
      </c>
      <c r="H49" t="s">
        <v>319</v>
      </c>
      <c r="I49" t="s">
        <v>419</v>
      </c>
      <c r="J49" t="s">
        <v>29</v>
      </c>
      <c r="K49" t="s">
        <v>46</v>
      </c>
      <c r="L49" t="s">
        <v>38</v>
      </c>
      <c r="M49" s="1">
        <v>0</v>
      </c>
      <c r="N49">
        <v>0</v>
      </c>
      <c r="O49">
        <v>0</v>
      </c>
      <c r="P49">
        <v>91.25</v>
      </c>
      <c r="Q49">
        <v>0</v>
      </c>
      <c r="R49" s="2">
        <v>0</v>
      </c>
      <c r="S49">
        <v>1</v>
      </c>
      <c r="T49">
        <v>1</v>
      </c>
    </row>
    <row r="50" spans="1:20" x14ac:dyDescent="0.2">
      <c r="A50" t="s">
        <v>51</v>
      </c>
      <c r="B50" t="s">
        <v>21</v>
      </c>
      <c r="C50" t="s">
        <v>580</v>
      </c>
      <c r="D50" t="s">
        <v>581</v>
      </c>
      <c r="E50" t="s">
        <v>35</v>
      </c>
      <c r="F50" t="s">
        <v>25</v>
      </c>
      <c r="G50" t="s">
        <v>36</v>
      </c>
      <c r="H50" t="s">
        <v>550</v>
      </c>
      <c r="I50" t="s">
        <v>419</v>
      </c>
      <c r="J50" t="s">
        <v>29</v>
      </c>
      <c r="K50" t="s">
        <v>46</v>
      </c>
      <c r="L50" t="s">
        <v>38</v>
      </c>
      <c r="M50" s="1">
        <v>0</v>
      </c>
      <c r="N50">
        <v>0</v>
      </c>
      <c r="O50">
        <v>0</v>
      </c>
      <c r="P50">
        <v>91.25</v>
      </c>
      <c r="Q50">
        <v>0</v>
      </c>
      <c r="R50" s="2">
        <v>0</v>
      </c>
      <c r="S50">
        <v>1</v>
      </c>
      <c r="T50">
        <v>1</v>
      </c>
    </row>
    <row r="51" spans="1:20" x14ac:dyDescent="0.2">
      <c r="A51" t="s">
        <v>126</v>
      </c>
      <c r="B51" t="s">
        <v>21</v>
      </c>
      <c r="C51" t="s">
        <v>800</v>
      </c>
      <c r="D51" t="s">
        <v>801</v>
      </c>
      <c r="E51" t="s">
        <v>35</v>
      </c>
      <c r="F51" t="s">
        <v>25</v>
      </c>
      <c r="G51" t="s">
        <v>36</v>
      </c>
      <c r="H51" t="s">
        <v>748</v>
      </c>
      <c r="I51" t="s">
        <v>419</v>
      </c>
      <c r="J51" t="s">
        <v>29</v>
      </c>
      <c r="K51" t="s">
        <v>46</v>
      </c>
      <c r="L51" t="s">
        <v>31</v>
      </c>
      <c r="M51" s="1">
        <v>65491.15</v>
      </c>
      <c r="N51">
        <v>1</v>
      </c>
      <c r="O51">
        <v>1</v>
      </c>
      <c r="P51">
        <v>91.25</v>
      </c>
      <c r="Q51">
        <v>0</v>
      </c>
      <c r="R51" s="2">
        <v>1</v>
      </c>
      <c r="S51">
        <v>0</v>
      </c>
      <c r="T51">
        <v>0</v>
      </c>
    </row>
    <row r="52" spans="1:20" x14ac:dyDescent="0.2">
      <c r="A52" t="s">
        <v>51</v>
      </c>
      <c r="B52" t="s">
        <v>21</v>
      </c>
      <c r="C52" t="s">
        <v>817</v>
      </c>
      <c r="D52" t="s">
        <v>818</v>
      </c>
      <c r="E52" t="s">
        <v>35</v>
      </c>
      <c r="F52" t="s">
        <v>25</v>
      </c>
      <c r="G52" t="s">
        <v>36</v>
      </c>
      <c r="H52" t="s">
        <v>748</v>
      </c>
      <c r="I52" t="s">
        <v>419</v>
      </c>
      <c r="J52" t="s">
        <v>29</v>
      </c>
      <c r="K52" t="s">
        <v>46</v>
      </c>
      <c r="L52" t="s">
        <v>38</v>
      </c>
      <c r="M52" s="1">
        <v>0</v>
      </c>
      <c r="N52">
        <v>0</v>
      </c>
      <c r="O52">
        <v>0</v>
      </c>
      <c r="P52">
        <v>91.25</v>
      </c>
      <c r="Q52">
        <v>0</v>
      </c>
      <c r="R52" s="2">
        <v>0</v>
      </c>
      <c r="S52">
        <v>1</v>
      </c>
      <c r="T52">
        <v>1</v>
      </c>
    </row>
    <row r="53" spans="1:20" x14ac:dyDescent="0.2">
      <c r="A53" t="s">
        <v>307</v>
      </c>
      <c r="B53" t="s">
        <v>262</v>
      </c>
      <c r="C53" t="s">
        <v>800</v>
      </c>
      <c r="D53" t="s">
        <v>801</v>
      </c>
      <c r="E53" t="s">
        <v>35</v>
      </c>
      <c r="F53" t="s">
        <v>58</v>
      </c>
      <c r="G53" t="s">
        <v>36</v>
      </c>
      <c r="H53" t="s">
        <v>748</v>
      </c>
      <c r="I53" t="s">
        <v>419</v>
      </c>
      <c r="J53" t="s">
        <v>29</v>
      </c>
      <c r="K53" t="s">
        <v>46</v>
      </c>
      <c r="L53" t="s">
        <v>31</v>
      </c>
      <c r="M53" s="1">
        <v>13716.85</v>
      </c>
      <c r="N53">
        <v>1</v>
      </c>
      <c r="O53">
        <v>1</v>
      </c>
      <c r="P53">
        <v>91.25</v>
      </c>
      <c r="Q53">
        <v>0</v>
      </c>
      <c r="R53" s="2">
        <v>1</v>
      </c>
      <c r="S53">
        <v>0</v>
      </c>
      <c r="T53">
        <v>0</v>
      </c>
    </row>
    <row r="54" spans="1:20" x14ac:dyDescent="0.2">
      <c r="A54" t="s">
        <v>324</v>
      </c>
      <c r="B54" t="s">
        <v>21</v>
      </c>
      <c r="C54" t="s">
        <v>1137</v>
      </c>
      <c r="D54" t="s">
        <v>1138</v>
      </c>
      <c r="E54" t="s">
        <v>35</v>
      </c>
      <c r="F54" t="s">
        <v>25</v>
      </c>
      <c r="G54" t="s">
        <v>36</v>
      </c>
      <c r="H54" t="s">
        <v>1071</v>
      </c>
      <c r="I54" t="s">
        <v>419</v>
      </c>
      <c r="J54" t="s">
        <v>29</v>
      </c>
      <c r="K54" t="s">
        <v>46</v>
      </c>
      <c r="L54" t="s">
        <v>38</v>
      </c>
      <c r="M54" s="1">
        <v>0</v>
      </c>
      <c r="N54">
        <v>0</v>
      </c>
      <c r="O54">
        <v>0</v>
      </c>
      <c r="P54">
        <v>91.25</v>
      </c>
      <c r="Q54">
        <v>0</v>
      </c>
      <c r="R54" s="2">
        <v>0</v>
      </c>
      <c r="S54">
        <v>1</v>
      </c>
      <c r="T54">
        <v>1</v>
      </c>
    </row>
    <row r="55" spans="1:20" x14ac:dyDescent="0.2">
      <c r="A55" t="s">
        <v>1198</v>
      </c>
      <c r="B55" t="s">
        <v>21</v>
      </c>
      <c r="C55" t="s">
        <v>1199</v>
      </c>
      <c r="D55" t="s">
        <v>1200</v>
      </c>
      <c r="E55" t="s">
        <v>35</v>
      </c>
      <c r="F55" t="s">
        <v>25</v>
      </c>
      <c r="G55" t="s">
        <v>36</v>
      </c>
      <c r="H55" t="s">
        <v>1071</v>
      </c>
      <c r="I55" t="s">
        <v>419</v>
      </c>
      <c r="J55" t="s">
        <v>29</v>
      </c>
      <c r="K55" t="s">
        <v>46</v>
      </c>
      <c r="L55" t="s">
        <v>556</v>
      </c>
      <c r="M55" s="1">
        <v>0</v>
      </c>
      <c r="N55">
        <v>0</v>
      </c>
      <c r="O55">
        <v>0</v>
      </c>
      <c r="P55">
        <v>91.25</v>
      </c>
      <c r="Q55">
        <v>1</v>
      </c>
      <c r="R55" s="2">
        <v>0</v>
      </c>
      <c r="S55">
        <v>0</v>
      </c>
      <c r="T55">
        <v>0</v>
      </c>
    </row>
    <row r="56" spans="1:20" x14ac:dyDescent="0.2">
      <c r="A56" t="s">
        <v>917</v>
      </c>
      <c r="B56" t="s">
        <v>158</v>
      </c>
      <c r="C56" t="s">
        <v>1320</v>
      </c>
      <c r="D56" t="s">
        <v>1321</v>
      </c>
      <c r="E56" t="s">
        <v>35</v>
      </c>
      <c r="F56" t="s">
        <v>25</v>
      </c>
      <c r="G56" t="s">
        <v>36</v>
      </c>
      <c r="H56" t="s">
        <v>1071</v>
      </c>
      <c r="I56" t="s">
        <v>419</v>
      </c>
      <c r="J56" t="s">
        <v>29</v>
      </c>
      <c r="K56" t="s">
        <v>46</v>
      </c>
      <c r="L56" t="s">
        <v>556</v>
      </c>
      <c r="M56" s="1">
        <v>0</v>
      </c>
      <c r="N56">
        <v>0</v>
      </c>
      <c r="O56">
        <v>0</v>
      </c>
      <c r="P56">
        <v>91.25</v>
      </c>
      <c r="Q56">
        <v>1</v>
      </c>
      <c r="R56" s="2">
        <v>0</v>
      </c>
      <c r="S56">
        <v>0</v>
      </c>
      <c r="T56">
        <v>0</v>
      </c>
    </row>
    <row r="57" spans="1:20" x14ac:dyDescent="0.2">
      <c r="A57" t="s">
        <v>51</v>
      </c>
      <c r="B57" t="s">
        <v>21</v>
      </c>
      <c r="C57" t="s">
        <v>1460</v>
      </c>
      <c r="D57" t="s">
        <v>1461</v>
      </c>
      <c r="E57" t="s">
        <v>35</v>
      </c>
      <c r="F57" t="s">
        <v>25</v>
      </c>
      <c r="G57" t="s">
        <v>36</v>
      </c>
      <c r="H57" t="s">
        <v>1410</v>
      </c>
      <c r="I57" t="s">
        <v>419</v>
      </c>
      <c r="J57" t="s">
        <v>29</v>
      </c>
      <c r="K57" t="s">
        <v>46</v>
      </c>
      <c r="L57" t="s">
        <v>556</v>
      </c>
      <c r="M57" s="1">
        <v>0</v>
      </c>
      <c r="N57">
        <v>0</v>
      </c>
      <c r="O57">
        <v>0</v>
      </c>
      <c r="P57">
        <v>91.25</v>
      </c>
      <c r="Q57">
        <v>1</v>
      </c>
      <c r="R57" s="2">
        <v>0</v>
      </c>
      <c r="S57">
        <v>0</v>
      </c>
      <c r="T57">
        <v>0</v>
      </c>
    </row>
    <row r="58" spans="1:20" x14ac:dyDescent="0.2">
      <c r="A58" t="s">
        <v>157</v>
      </c>
      <c r="B58" t="s">
        <v>158</v>
      </c>
      <c r="C58" t="s">
        <v>1548</v>
      </c>
      <c r="D58" t="s">
        <v>1549</v>
      </c>
      <c r="E58" t="s">
        <v>35</v>
      </c>
      <c r="F58" t="s">
        <v>25</v>
      </c>
      <c r="G58" t="s">
        <v>36</v>
      </c>
      <c r="H58" t="s">
        <v>1410</v>
      </c>
      <c r="I58" t="s">
        <v>419</v>
      </c>
      <c r="J58" t="s">
        <v>29</v>
      </c>
      <c r="K58" t="s">
        <v>46</v>
      </c>
      <c r="L58" t="s">
        <v>556</v>
      </c>
      <c r="M58" s="1">
        <v>0</v>
      </c>
      <c r="N58">
        <v>0</v>
      </c>
      <c r="O58">
        <v>0</v>
      </c>
      <c r="P58">
        <v>91.25</v>
      </c>
      <c r="Q58">
        <v>1</v>
      </c>
      <c r="R58" s="2">
        <v>0</v>
      </c>
      <c r="S58">
        <v>0</v>
      </c>
      <c r="T58">
        <v>0</v>
      </c>
    </row>
    <row r="59" spans="1:20" x14ac:dyDescent="0.2">
      <c r="A59" t="s">
        <v>1184</v>
      </c>
      <c r="B59" t="s">
        <v>21</v>
      </c>
      <c r="C59" t="s">
        <v>1185</v>
      </c>
      <c r="D59" t="s">
        <v>1186</v>
      </c>
      <c r="E59" t="s">
        <v>35</v>
      </c>
      <c r="F59" t="s">
        <v>25</v>
      </c>
      <c r="G59" t="s">
        <v>36</v>
      </c>
      <c r="H59" t="s">
        <v>1071</v>
      </c>
      <c r="I59" t="s">
        <v>1187</v>
      </c>
      <c r="J59" t="s">
        <v>29</v>
      </c>
      <c r="K59" t="s">
        <v>46</v>
      </c>
      <c r="L59" t="s">
        <v>31</v>
      </c>
      <c r="M59" s="1">
        <v>11405.6</v>
      </c>
      <c r="N59">
        <v>1</v>
      </c>
      <c r="O59">
        <v>1</v>
      </c>
      <c r="P59">
        <v>91.25</v>
      </c>
      <c r="Q59">
        <v>0</v>
      </c>
      <c r="R59" s="2">
        <v>1</v>
      </c>
      <c r="S59">
        <v>0</v>
      </c>
      <c r="T59">
        <v>0</v>
      </c>
    </row>
    <row r="60" spans="1:20" x14ac:dyDescent="0.2">
      <c r="A60" t="s">
        <v>32</v>
      </c>
      <c r="B60" t="s">
        <v>21</v>
      </c>
      <c r="C60" t="s">
        <v>76</v>
      </c>
      <c r="D60" t="s">
        <v>77</v>
      </c>
      <c r="E60" t="s">
        <v>35</v>
      </c>
      <c r="F60" t="s">
        <v>25</v>
      </c>
      <c r="G60" t="s">
        <v>36</v>
      </c>
      <c r="H60" t="s">
        <v>27</v>
      </c>
      <c r="I60" t="s">
        <v>78</v>
      </c>
      <c r="J60" t="s">
        <v>29</v>
      </c>
      <c r="K60" t="s">
        <v>46</v>
      </c>
      <c r="L60" t="s">
        <v>38</v>
      </c>
      <c r="M60" s="1">
        <v>0</v>
      </c>
      <c r="N60">
        <v>0</v>
      </c>
      <c r="O60">
        <v>0</v>
      </c>
      <c r="P60">
        <v>91.25</v>
      </c>
      <c r="Q60">
        <v>0</v>
      </c>
      <c r="R60" s="2">
        <v>0</v>
      </c>
      <c r="S60">
        <v>1</v>
      </c>
      <c r="T60">
        <v>1</v>
      </c>
    </row>
    <row r="61" spans="1:20" x14ac:dyDescent="0.2">
      <c r="A61" t="s">
        <v>32</v>
      </c>
      <c r="B61" t="s">
        <v>21</v>
      </c>
      <c r="C61" t="s">
        <v>33</v>
      </c>
      <c r="D61" t="s">
        <v>34</v>
      </c>
      <c r="E61" t="s">
        <v>35</v>
      </c>
      <c r="F61" t="s">
        <v>25</v>
      </c>
      <c r="G61" t="s">
        <v>36</v>
      </c>
      <c r="H61" t="s">
        <v>27</v>
      </c>
      <c r="I61" t="s">
        <v>37</v>
      </c>
      <c r="J61" t="s">
        <v>29</v>
      </c>
      <c r="K61" t="s">
        <v>30</v>
      </c>
      <c r="L61" t="s">
        <v>38</v>
      </c>
      <c r="M61" s="1">
        <v>0</v>
      </c>
      <c r="N61">
        <v>0</v>
      </c>
      <c r="O61">
        <v>0</v>
      </c>
      <c r="P61">
        <v>91.25</v>
      </c>
      <c r="Q61">
        <v>0</v>
      </c>
      <c r="R61" s="2">
        <v>0</v>
      </c>
      <c r="S61">
        <v>1</v>
      </c>
      <c r="T61">
        <v>1</v>
      </c>
    </row>
    <row r="62" spans="1:20" x14ac:dyDescent="0.2">
      <c r="A62" t="s">
        <v>67</v>
      </c>
      <c r="B62" t="s">
        <v>21</v>
      </c>
      <c r="C62" t="s">
        <v>68</v>
      </c>
      <c r="D62" t="s">
        <v>69</v>
      </c>
      <c r="E62" t="s">
        <v>35</v>
      </c>
      <c r="F62" t="s">
        <v>25</v>
      </c>
      <c r="G62" t="s">
        <v>36</v>
      </c>
      <c r="H62" t="s">
        <v>27</v>
      </c>
      <c r="I62" t="s">
        <v>37</v>
      </c>
      <c r="J62" t="s">
        <v>29</v>
      </c>
      <c r="K62" t="s">
        <v>46</v>
      </c>
      <c r="L62" t="s">
        <v>31</v>
      </c>
      <c r="M62" s="1">
        <v>672191</v>
      </c>
      <c r="N62">
        <v>1</v>
      </c>
      <c r="O62">
        <v>1</v>
      </c>
      <c r="P62">
        <v>91.25</v>
      </c>
      <c r="Q62">
        <v>0</v>
      </c>
      <c r="R62" s="2">
        <v>1</v>
      </c>
      <c r="S62">
        <v>0</v>
      </c>
      <c r="T62">
        <v>0</v>
      </c>
    </row>
    <row r="63" spans="1:20" x14ac:dyDescent="0.2">
      <c r="A63" t="s">
        <v>70</v>
      </c>
      <c r="B63" t="s">
        <v>21</v>
      </c>
      <c r="C63" t="s">
        <v>71</v>
      </c>
      <c r="D63" t="s">
        <v>72</v>
      </c>
      <c r="E63" t="s">
        <v>35</v>
      </c>
      <c r="F63" t="s">
        <v>25</v>
      </c>
      <c r="G63" t="s">
        <v>36</v>
      </c>
      <c r="H63" t="s">
        <v>27</v>
      </c>
      <c r="I63" t="s">
        <v>37</v>
      </c>
      <c r="J63" t="s">
        <v>29</v>
      </c>
      <c r="K63" t="s">
        <v>46</v>
      </c>
      <c r="L63" t="s">
        <v>31</v>
      </c>
      <c r="M63" s="1">
        <v>642635.21</v>
      </c>
      <c r="N63">
        <v>1</v>
      </c>
      <c r="O63">
        <v>1</v>
      </c>
      <c r="P63">
        <v>91.25</v>
      </c>
      <c r="Q63">
        <v>0</v>
      </c>
      <c r="R63" s="2">
        <v>1</v>
      </c>
      <c r="S63">
        <v>0</v>
      </c>
      <c r="T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T40"/>
  <sheetViews>
    <sheetView workbookViewId="0">
      <selection activeCell="H8" sqref="H8"/>
    </sheetView>
  </sheetViews>
  <sheetFormatPr baseColWidth="10" defaultColWidth="8.83203125" defaultRowHeight="15" x14ac:dyDescent="0.2"/>
  <cols>
    <col min="1" max="1" width="9.6640625" bestFit="1" customWidth="1"/>
    <col min="11" max="11" width="12" bestFit="1" customWidth="1"/>
  </cols>
  <sheetData>
    <row r="3" spans="1:20" x14ac:dyDescent="0.2">
      <c r="A3" t="s">
        <v>0</v>
      </c>
      <c r="B3" t="s">
        <v>1</v>
      </c>
      <c r="C3" t="s">
        <v>1581</v>
      </c>
      <c r="D3" t="s">
        <v>14</v>
      </c>
      <c r="E3" t="s">
        <v>12</v>
      </c>
      <c r="K3" t="s">
        <v>156</v>
      </c>
      <c r="M3" t="s">
        <v>248</v>
      </c>
      <c r="O3" t="s">
        <v>260</v>
      </c>
      <c r="Q3" t="s">
        <v>315</v>
      </c>
      <c r="S3" t="s">
        <v>1590</v>
      </c>
    </row>
    <row r="4" spans="1:20" x14ac:dyDescent="0.2">
      <c r="A4" t="s">
        <v>27</v>
      </c>
      <c r="B4" t="s">
        <v>156</v>
      </c>
      <c r="C4">
        <v>31</v>
      </c>
      <c r="D4">
        <v>8</v>
      </c>
      <c r="E4">
        <v>3456228.6</v>
      </c>
      <c r="J4" t="s">
        <v>1583</v>
      </c>
      <c r="K4" t="s">
        <v>1581</v>
      </c>
      <c r="L4" t="s">
        <v>1584</v>
      </c>
      <c r="M4" t="s">
        <v>1581</v>
      </c>
      <c r="N4" t="s">
        <v>1584</v>
      </c>
      <c r="O4" t="s">
        <v>1581</v>
      </c>
      <c r="P4" t="s">
        <v>1584</v>
      </c>
      <c r="Q4" t="s">
        <v>1581</v>
      </c>
      <c r="R4" t="s">
        <v>1584</v>
      </c>
      <c r="S4" t="s">
        <v>1581</v>
      </c>
      <c r="T4" t="s">
        <v>1584</v>
      </c>
    </row>
    <row r="5" spans="1:20" x14ac:dyDescent="0.2">
      <c r="A5" t="s">
        <v>27</v>
      </c>
      <c r="B5" t="s">
        <v>248</v>
      </c>
      <c r="C5">
        <v>28</v>
      </c>
      <c r="D5">
        <v>10</v>
      </c>
      <c r="E5">
        <v>5036071.01</v>
      </c>
      <c r="J5" t="s">
        <v>1582</v>
      </c>
      <c r="K5">
        <f>C4</f>
        <v>31</v>
      </c>
      <c r="L5">
        <f>D4</f>
        <v>8</v>
      </c>
      <c r="M5">
        <f>C5</f>
        <v>28</v>
      </c>
      <c r="N5">
        <f>D5</f>
        <v>10</v>
      </c>
      <c r="O5">
        <f>C6</f>
        <v>3</v>
      </c>
      <c r="P5">
        <f>D6</f>
        <v>1</v>
      </c>
      <c r="Q5">
        <f>C7</f>
        <v>19</v>
      </c>
      <c r="R5">
        <f>D7</f>
        <v>10</v>
      </c>
      <c r="S5">
        <f>Q5+O5+M5+K5</f>
        <v>81</v>
      </c>
      <c r="T5">
        <f>R5+P5+N5+L5</f>
        <v>29</v>
      </c>
    </row>
    <row r="6" spans="1:20" x14ac:dyDescent="0.2">
      <c r="A6" t="s">
        <v>27</v>
      </c>
      <c r="B6" t="s">
        <v>260</v>
      </c>
      <c r="C6">
        <v>3</v>
      </c>
      <c r="D6">
        <v>1</v>
      </c>
      <c r="E6">
        <v>242504</v>
      </c>
      <c r="J6" t="s">
        <v>1585</v>
      </c>
      <c r="K6">
        <f>C10</f>
        <v>37</v>
      </c>
      <c r="L6">
        <f>D10</f>
        <v>16</v>
      </c>
      <c r="M6">
        <f>C11</f>
        <v>22</v>
      </c>
      <c r="N6">
        <f>D11</f>
        <v>11</v>
      </c>
      <c r="O6">
        <f>C12</f>
        <v>5</v>
      </c>
      <c r="P6">
        <f>D12</f>
        <v>1</v>
      </c>
      <c r="Q6">
        <f>C13</f>
        <v>14</v>
      </c>
      <c r="R6">
        <f>D13</f>
        <v>6</v>
      </c>
      <c r="S6">
        <f t="shared" ref="S6:S10" si="0">Q6+O6+M6+K6</f>
        <v>78</v>
      </c>
      <c r="T6">
        <f t="shared" ref="T6:T10" si="1">R6+P6+N6+L6</f>
        <v>34</v>
      </c>
    </row>
    <row r="7" spans="1:20" x14ac:dyDescent="0.2">
      <c r="A7" t="s">
        <v>27</v>
      </c>
      <c r="B7" t="s">
        <v>315</v>
      </c>
      <c r="C7">
        <v>19</v>
      </c>
      <c r="D7">
        <v>10</v>
      </c>
      <c r="E7">
        <v>8289683.7999999998</v>
      </c>
      <c r="J7" t="s">
        <v>1586</v>
      </c>
      <c r="K7">
        <f>C16</f>
        <v>27</v>
      </c>
      <c r="L7">
        <f>D16</f>
        <v>8</v>
      </c>
      <c r="M7">
        <f>C17</f>
        <v>22</v>
      </c>
      <c r="N7">
        <f>D17</f>
        <v>11</v>
      </c>
      <c r="O7">
        <f>C18</f>
        <v>7</v>
      </c>
      <c r="P7">
        <f>D18</f>
        <v>2</v>
      </c>
      <c r="Q7">
        <f>C19</f>
        <v>22</v>
      </c>
      <c r="R7">
        <f>D19</f>
        <v>10</v>
      </c>
      <c r="S7">
        <f t="shared" si="0"/>
        <v>78</v>
      </c>
      <c r="T7">
        <f t="shared" si="1"/>
        <v>31</v>
      </c>
    </row>
    <row r="8" spans="1:20" x14ac:dyDescent="0.2">
      <c r="B8" t="s">
        <v>316</v>
      </c>
      <c r="C8">
        <v>81</v>
      </c>
      <c r="D8">
        <v>29</v>
      </c>
      <c r="E8">
        <v>17024487.41</v>
      </c>
      <c r="J8" t="s">
        <v>1587</v>
      </c>
      <c r="K8">
        <f>C22</f>
        <v>39</v>
      </c>
      <c r="L8">
        <f>D22</f>
        <v>9</v>
      </c>
      <c r="M8">
        <f>C23</f>
        <v>45</v>
      </c>
      <c r="N8">
        <f>D23</f>
        <v>13</v>
      </c>
      <c r="O8">
        <f>C24</f>
        <v>14</v>
      </c>
      <c r="P8">
        <f>D24</f>
        <v>2</v>
      </c>
      <c r="Q8">
        <f>C25</f>
        <v>31</v>
      </c>
      <c r="R8">
        <f>D25</f>
        <v>11</v>
      </c>
      <c r="S8">
        <f t="shared" si="0"/>
        <v>129</v>
      </c>
      <c r="T8">
        <f t="shared" si="1"/>
        <v>35</v>
      </c>
    </row>
    <row r="9" spans="1:20" x14ac:dyDescent="0.2">
      <c r="J9" t="s">
        <v>1588</v>
      </c>
      <c r="K9">
        <f>C28</f>
        <v>52</v>
      </c>
      <c r="L9">
        <f>D28</f>
        <v>8</v>
      </c>
      <c r="M9">
        <f>C29</f>
        <v>46</v>
      </c>
      <c r="N9">
        <f>D29</f>
        <v>8</v>
      </c>
      <c r="O9">
        <f>C30</f>
        <v>11</v>
      </c>
      <c r="P9">
        <f>D30</f>
        <v>2</v>
      </c>
      <c r="Q9">
        <f>C31</f>
        <v>24</v>
      </c>
      <c r="R9">
        <f>D31</f>
        <v>3</v>
      </c>
      <c r="S9">
        <f t="shared" si="0"/>
        <v>133</v>
      </c>
      <c r="T9">
        <f t="shared" si="1"/>
        <v>21</v>
      </c>
    </row>
    <row r="10" spans="1:20" x14ac:dyDescent="0.2">
      <c r="A10" t="s">
        <v>319</v>
      </c>
      <c r="B10" t="s">
        <v>156</v>
      </c>
      <c r="C10">
        <v>37</v>
      </c>
      <c r="D10">
        <v>16</v>
      </c>
      <c r="E10">
        <v>2625665.6800000002</v>
      </c>
      <c r="J10" t="s">
        <v>1589</v>
      </c>
      <c r="K10">
        <f>C34</f>
        <v>28</v>
      </c>
      <c r="L10">
        <f>D34</f>
        <v>0</v>
      </c>
      <c r="M10">
        <f>C35</f>
        <v>31</v>
      </c>
      <c r="N10">
        <f>D35</f>
        <v>0</v>
      </c>
      <c r="O10">
        <f>C36</f>
        <v>2</v>
      </c>
      <c r="P10">
        <f>D36</f>
        <v>0</v>
      </c>
      <c r="Q10">
        <f>C37</f>
        <v>10</v>
      </c>
      <c r="R10">
        <f>D37</f>
        <v>0</v>
      </c>
      <c r="S10">
        <f t="shared" si="0"/>
        <v>71</v>
      </c>
      <c r="T10">
        <f t="shared" si="1"/>
        <v>0</v>
      </c>
    </row>
    <row r="11" spans="1:20" x14ac:dyDescent="0.2">
      <c r="A11" t="s">
        <v>319</v>
      </c>
      <c r="B11" t="s">
        <v>248</v>
      </c>
      <c r="C11">
        <v>22</v>
      </c>
      <c r="D11">
        <v>11</v>
      </c>
      <c r="E11">
        <v>3956602.01</v>
      </c>
      <c r="S11">
        <f>SUM(S5:S10)</f>
        <v>570</v>
      </c>
      <c r="T11">
        <f>SUM(T5:T10)</f>
        <v>150</v>
      </c>
    </row>
    <row r="12" spans="1:20" x14ac:dyDescent="0.2">
      <c r="A12" t="s">
        <v>319</v>
      </c>
      <c r="B12" t="s">
        <v>260</v>
      </c>
      <c r="C12">
        <v>5</v>
      </c>
      <c r="D12">
        <v>1</v>
      </c>
      <c r="E12">
        <v>238412</v>
      </c>
    </row>
    <row r="13" spans="1:20" x14ac:dyDescent="0.2">
      <c r="A13" t="s">
        <v>319</v>
      </c>
      <c r="B13" t="s">
        <v>315</v>
      </c>
      <c r="C13">
        <v>14</v>
      </c>
      <c r="D13">
        <v>6</v>
      </c>
      <c r="E13">
        <v>872327.25</v>
      </c>
    </row>
    <row r="14" spans="1:20" x14ac:dyDescent="0.2">
      <c r="B14" t="s">
        <v>316</v>
      </c>
      <c r="C14">
        <v>78</v>
      </c>
      <c r="D14">
        <v>34</v>
      </c>
      <c r="E14">
        <v>7693006.9400000004</v>
      </c>
    </row>
    <row r="16" spans="1:20" x14ac:dyDescent="0.2">
      <c r="A16" t="s">
        <v>550</v>
      </c>
      <c r="B16" t="s">
        <v>156</v>
      </c>
      <c r="C16">
        <v>27</v>
      </c>
      <c r="D16">
        <v>8</v>
      </c>
      <c r="E16">
        <v>1385831.43</v>
      </c>
    </row>
    <row r="17" spans="1:5" x14ac:dyDescent="0.2">
      <c r="A17" t="s">
        <v>550</v>
      </c>
      <c r="B17" t="s">
        <v>248</v>
      </c>
      <c r="C17">
        <v>22</v>
      </c>
      <c r="D17">
        <v>11</v>
      </c>
      <c r="E17">
        <v>1320352.69</v>
      </c>
    </row>
    <row r="18" spans="1:5" x14ac:dyDescent="0.2">
      <c r="A18" t="s">
        <v>550</v>
      </c>
      <c r="B18" t="s">
        <v>260</v>
      </c>
      <c r="C18">
        <v>7</v>
      </c>
      <c r="D18">
        <v>2</v>
      </c>
      <c r="E18">
        <v>224916</v>
      </c>
    </row>
    <row r="19" spans="1:5" x14ac:dyDescent="0.2">
      <c r="A19" t="s">
        <v>550</v>
      </c>
      <c r="B19" t="s">
        <v>315</v>
      </c>
      <c r="C19">
        <v>22</v>
      </c>
      <c r="D19">
        <v>10</v>
      </c>
      <c r="E19">
        <v>1227354.6299999999</v>
      </c>
    </row>
    <row r="20" spans="1:5" x14ac:dyDescent="0.2">
      <c r="B20" t="s">
        <v>316</v>
      </c>
      <c r="C20">
        <v>78</v>
      </c>
      <c r="D20">
        <v>31</v>
      </c>
      <c r="E20">
        <v>4158454.75</v>
      </c>
    </row>
    <row r="22" spans="1:5" x14ac:dyDescent="0.2">
      <c r="A22" t="s">
        <v>748</v>
      </c>
      <c r="B22" t="s">
        <v>156</v>
      </c>
      <c r="C22">
        <v>39</v>
      </c>
      <c r="D22">
        <v>9</v>
      </c>
      <c r="E22">
        <v>1609732.19</v>
      </c>
    </row>
    <row r="23" spans="1:5" x14ac:dyDescent="0.2">
      <c r="A23" t="s">
        <v>748</v>
      </c>
      <c r="B23" t="s">
        <v>248</v>
      </c>
      <c r="C23">
        <v>45</v>
      </c>
      <c r="D23">
        <v>13</v>
      </c>
      <c r="E23">
        <v>1960023.12</v>
      </c>
    </row>
    <row r="24" spans="1:5" x14ac:dyDescent="0.2">
      <c r="A24" t="s">
        <v>748</v>
      </c>
      <c r="B24" t="s">
        <v>260</v>
      </c>
      <c r="C24">
        <v>14</v>
      </c>
      <c r="D24">
        <v>2</v>
      </c>
      <c r="E24">
        <v>278336.25</v>
      </c>
    </row>
    <row r="25" spans="1:5" x14ac:dyDescent="0.2">
      <c r="A25" t="s">
        <v>748</v>
      </c>
      <c r="B25" t="s">
        <v>315</v>
      </c>
      <c r="C25">
        <v>31</v>
      </c>
      <c r="D25">
        <v>11</v>
      </c>
      <c r="E25">
        <v>1291705.3400000001</v>
      </c>
    </row>
    <row r="26" spans="1:5" x14ac:dyDescent="0.2">
      <c r="B26" t="s">
        <v>316</v>
      </c>
      <c r="C26">
        <v>129</v>
      </c>
      <c r="D26">
        <v>35</v>
      </c>
      <c r="E26">
        <v>5139796.9000000004</v>
      </c>
    </row>
    <row r="28" spans="1:5" x14ac:dyDescent="0.2">
      <c r="A28" t="s">
        <v>1071</v>
      </c>
      <c r="B28" t="s">
        <v>156</v>
      </c>
      <c r="C28">
        <v>52</v>
      </c>
      <c r="D28">
        <v>8</v>
      </c>
      <c r="E28">
        <v>1354281.94</v>
      </c>
    </row>
    <row r="29" spans="1:5" x14ac:dyDescent="0.2">
      <c r="A29" t="s">
        <v>1071</v>
      </c>
      <c r="B29" t="s">
        <v>248</v>
      </c>
      <c r="C29">
        <v>46</v>
      </c>
      <c r="D29">
        <v>8</v>
      </c>
      <c r="E29">
        <v>1002319.23</v>
      </c>
    </row>
    <row r="30" spans="1:5" x14ac:dyDescent="0.2">
      <c r="A30" t="s">
        <v>1071</v>
      </c>
      <c r="B30" t="s">
        <v>260</v>
      </c>
      <c r="C30">
        <v>11</v>
      </c>
      <c r="D30">
        <v>2</v>
      </c>
      <c r="E30">
        <v>254474.89</v>
      </c>
    </row>
    <row r="31" spans="1:5" x14ac:dyDescent="0.2">
      <c r="A31" t="s">
        <v>1071</v>
      </c>
      <c r="B31" t="s">
        <v>315</v>
      </c>
      <c r="C31">
        <v>24</v>
      </c>
      <c r="D31">
        <v>3</v>
      </c>
      <c r="E31">
        <v>492498.11</v>
      </c>
    </row>
    <row r="32" spans="1:5" x14ac:dyDescent="0.2">
      <c r="B32" t="s">
        <v>316</v>
      </c>
      <c r="C32">
        <v>133</v>
      </c>
      <c r="D32">
        <v>21</v>
      </c>
      <c r="E32">
        <v>3103574.17</v>
      </c>
    </row>
    <row r="34" spans="1:4" x14ac:dyDescent="0.2">
      <c r="A34" t="s">
        <v>1410</v>
      </c>
      <c r="B34" t="s">
        <v>156</v>
      </c>
      <c r="C34">
        <v>28</v>
      </c>
    </row>
    <row r="35" spans="1:4" x14ac:dyDescent="0.2">
      <c r="A35" t="s">
        <v>1410</v>
      </c>
      <c r="B35" t="s">
        <v>248</v>
      </c>
      <c r="C35">
        <v>31</v>
      </c>
    </row>
    <row r="36" spans="1:4" x14ac:dyDescent="0.2">
      <c r="A36" t="s">
        <v>1410</v>
      </c>
      <c r="B36" t="s">
        <v>260</v>
      </c>
      <c r="C36">
        <v>2</v>
      </c>
    </row>
    <row r="37" spans="1:4" x14ac:dyDescent="0.2">
      <c r="A37" t="s">
        <v>1410</v>
      </c>
      <c r="B37" t="s">
        <v>315</v>
      </c>
      <c r="C37">
        <v>10</v>
      </c>
    </row>
    <row r="38" spans="1:4" x14ac:dyDescent="0.2">
      <c r="B38" t="s">
        <v>316</v>
      </c>
      <c r="C38">
        <v>71</v>
      </c>
    </row>
    <row r="40" spans="1:4" x14ac:dyDescent="0.2">
      <c r="C40">
        <f>C38+C32+C26+C20+C14+C8</f>
        <v>570</v>
      </c>
      <c r="D40">
        <f>D38+D32+D26+D20+D14+D8</f>
        <v>150</v>
      </c>
    </row>
  </sheetData>
  <phoneticPr fontId="18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827e80-4c04-4875-9039-dfb096a9dcd4">
      <Terms xmlns="http://schemas.microsoft.com/office/infopath/2007/PartnerControls"/>
    </lcf76f155ced4ddcb4097134ff3c332f>
    <TaxCatchAll xmlns="cbd2d57f-c1e7-41b5-8607-d95c8bb91af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ED58888D7F9941BBA09C6BF2DCF858" ma:contentTypeVersion="11" ma:contentTypeDescription="Create a new document." ma:contentTypeScope="" ma:versionID="e92a0a7ad5843d80126ddb3bccf08da5">
  <xsd:schema xmlns:xsd="http://www.w3.org/2001/XMLSchema" xmlns:xs="http://www.w3.org/2001/XMLSchema" xmlns:p="http://schemas.microsoft.com/office/2006/metadata/properties" xmlns:ns2="42827e80-4c04-4875-9039-dfb096a9dcd4" xmlns:ns3="cbd2d57f-c1e7-41b5-8607-d95c8bb91af4" targetNamespace="http://schemas.microsoft.com/office/2006/metadata/properties" ma:root="true" ma:fieldsID="6071884d55b92a2a2433ba63ef9b47ba" ns2:_="" ns3:_="">
    <xsd:import namespace="42827e80-4c04-4875-9039-dfb096a9dcd4"/>
    <xsd:import namespace="cbd2d57f-c1e7-41b5-8607-d95c8bb91a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27e80-4c04-4875-9039-dfb096a9dc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d2d57f-c1e7-41b5-8607-d95c8bb91a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703d6e-526e-4e2f-b3f5-e69abd6626b8}" ma:internalName="TaxCatchAll" ma:showField="CatchAllData" ma:web="cbd2d57f-c1e7-41b5-8607-d95c8bb91a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804420-D9E8-4A10-884E-165A8A3251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81E6D6-E926-4B71-827B-8B0436F08294}">
  <ds:schemaRefs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www.w3.org/XML/1998/namespace"/>
    <ds:schemaRef ds:uri="42827e80-4c04-4875-9039-dfb096a9dcd4"/>
    <ds:schemaRef ds:uri="http://schemas.microsoft.com/office/2006/documentManagement/types"/>
    <ds:schemaRef ds:uri="cbd2d57f-c1e7-41b5-8607-d95c8bb91af4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A0C564E-7D02-4F6C-BA2B-05A07B2D07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827e80-4c04-4875-9039-dfb096a9dcd4"/>
    <ds:schemaRef ds:uri="cbd2d57f-c1e7-41b5-8607-d95c8bb91a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Success rate 2020-21 to present</vt:lpstr>
      <vt:lpstr>Sheet1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Bird</dc:creator>
  <cp:lastModifiedBy>Maganizo Nyasulu</cp:lastModifiedBy>
  <dcterms:created xsi:type="dcterms:W3CDTF">2026-01-09T17:23:10Z</dcterms:created>
  <dcterms:modified xsi:type="dcterms:W3CDTF">2026-06-03T17:29:46Z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0x010100C9ED58888D7F9941BBA09C6BF2DCF858</vt:lpwstr>
  </property>
</Properties>
</file>